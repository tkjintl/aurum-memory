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0" documentId="13_ncr:10000001_{3A3D7159-32FC-44C9-9BDE-B1DD2C782E19}" xr6:coauthVersionLast="47" xr6:coauthVersionMax="47" xr10:uidLastSave="{00000000-0000-0000-0000-000000000000}"/>
  <bookViews>
    <workbookView xWindow="-103" yWindow="-103" windowWidth="24892" windowHeight="14914" tabRatio="711" xr2:uid="{00000000-000D-0000-FFFF-FFFF00000000}"/>
  </bookViews>
  <sheets>
    <sheet name="1. P&amp;L Summary" sheetId="1" r:id="rId1"/>
    <sheet name="2. Summary" sheetId="2" r:id="rId2"/>
    <sheet name="3. 5-Year Forecast" sheetId="3" r:id="rId3"/>
    <sheet name="4. Pricing Levers" sheetId="4" r:id="rId4"/>
    <sheet name="5. Gold Pricing Waterfall" sheetId="5" r:id="rId5"/>
    <sheet name="6. Silver Pricing Waterfall" sheetId="6" r:id="rId6"/>
    <sheet name="7. Start-up Requirements" sheetId="7" r:id="rId7"/>
    <sheet name="8. Equity Structure" sheetId="8" r:id="rId8"/>
    <sheet name="9. Balance Sheet" sheetId="9" r:id="rId9"/>
    <sheet name="10. Cash Flow" sheetId="10" r:id="rId10"/>
    <sheet name="11. Founders — Inputs" sheetId="11" r:id="rId11"/>
    <sheet name="12. Founders — Per-Patron" sheetId="12" r:id="rId12"/>
    <sheet name="13. Founders — Aggregate" sheetId="13" r:id="rId13"/>
    <sheet name="14. Founders — Sensitivity" sheetId="14" r:id="rId14"/>
    <sheet name="15. AGP — Inputs" sheetId="15" r:id="rId15"/>
    <sheet name="16. AGP — Math" sheetId="16" r:id="rId16"/>
    <sheet name="17. AGP Sign-up — Inputs" sheetId="17" r:id="rId17"/>
    <sheet name="18. AGP Sign-up — Math" sheetId="18" r:id="rId1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9" i="7" l="1"/>
  <c r="B88" i="7"/>
  <c r="B87" i="7"/>
  <c r="B86" i="7"/>
  <c r="B85" i="7"/>
  <c r="B84" i="7"/>
  <c r="B83" i="7"/>
  <c r="E30" i="18" l="1"/>
  <c r="E29" i="18"/>
  <c r="E28" i="18"/>
  <c r="E27" i="18"/>
  <c r="E26" i="18"/>
  <c r="E25" i="18"/>
  <c r="E24" i="18"/>
  <c r="E23" i="18"/>
  <c r="C18" i="18"/>
  <c r="C17" i="18"/>
  <c r="C16" i="18"/>
  <c r="H12" i="18"/>
  <c r="G12" i="18"/>
  <c r="E12" i="18"/>
  <c r="C12" i="18"/>
  <c r="H10" i="18"/>
  <c r="G10" i="18"/>
  <c r="F10" i="18"/>
  <c r="E10" i="18"/>
  <c r="D10" i="18"/>
  <c r="C10" i="18"/>
  <c r="B10" i="18"/>
  <c r="A10" i="18"/>
  <c r="H9" i="18"/>
  <c r="G9" i="18"/>
  <c r="F9" i="18"/>
  <c r="E9" i="18"/>
  <c r="D9" i="18"/>
  <c r="C9" i="18"/>
  <c r="B9" i="18"/>
  <c r="A9" i="18"/>
  <c r="H8" i="18"/>
  <c r="G8" i="18"/>
  <c r="F8" i="18"/>
  <c r="E8" i="18"/>
  <c r="D8" i="18"/>
  <c r="C8" i="18"/>
  <c r="B8" i="18"/>
  <c r="A8" i="18"/>
  <c r="H7" i="18"/>
  <c r="G7" i="18"/>
  <c r="F7" i="18"/>
  <c r="E7" i="18"/>
  <c r="D7" i="18"/>
  <c r="C7" i="18"/>
  <c r="B7" i="18"/>
  <c r="A7" i="18"/>
  <c r="H6" i="18"/>
  <c r="G6" i="18"/>
  <c r="F6" i="18"/>
  <c r="E6" i="18"/>
  <c r="D6" i="18"/>
  <c r="C6" i="18"/>
  <c r="B6" i="18"/>
  <c r="A6" i="18"/>
  <c r="D12" i="17"/>
  <c r="D11" i="17"/>
  <c r="H27" i="16"/>
  <c r="G27" i="16"/>
  <c r="F27" i="16"/>
  <c r="C27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A22" i="16"/>
  <c r="H21" i="16"/>
  <c r="G21" i="16"/>
  <c r="F21" i="16"/>
  <c r="E21" i="16"/>
  <c r="D21" i="16"/>
  <c r="C21" i="16"/>
  <c r="B21" i="16"/>
  <c r="A21" i="16"/>
  <c r="D16" i="16"/>
  <c r="D13" i="16"/>
  <c r="D10" i="16"/>
  <c r="C10" i="16"/>
  <c r="B10" i="16"/>
  <c r="D9" i="16"/>
  <c r="C9" i="16"/>
  <c r="B9" i="16"/>
  <c r="D8" i="16"/>
  <c r="C8" i="16"/>
  <c r="B8" i="16"/>
  <c r="D7" i="16"/>
  <c r="C7" i="16"/>
  <c r="B7" i="16"/>
  <c r="C6" i="16"/>
  <c r="B6" i="16"/>
  <c r="B23" i="15"/>
  <c r="E11" i="15"/>
  <c r="D10" i="15"/>
  <c r="D9" i="15"/>
  <c r="D8" i="15"/>
  <c r="D7" i="15"/>
  <c r="D6" i="15"/>
  <c r="G10" i="14"/>
  <c r="F10" i="14"/>
  <c r="E10" i="14"/>
  <c r="D10" i="14"/>
  <c r="C10" i="14"/>
  <c r="G9" i="14"/>
  <c r="F9" i="14"/>
  <c r="E9" i="14"/>
  <c r="D9" i="14"/>
  <c r="C9" i="14"/>
  <c r="G8" i="14"/>
  <c r="F8" i="14"/>
  <c r="E8" i="14"/>
  <c r="D8" i="14"/>
  <c r="C8" i="14"/>
  <c r="G7" i="14"/>
  <c r="F7" i="14"/>
  <c r="E7" i="14"/>
  <c r="D7" i="14"/>
  <c r="C7" i="14"/>
  <c r="G6" i="14"/>
  <c r="F6" i="14"/>
  <c r="E6" i="14"/>
  <c r="D6" i="14"/>
  <c r="C6" i="14"/>
  <c r="H11" i="13"/>
  <c r="G11" i="13"/>
  <c r="E11" i="13"/>
  <c r="C11" i="13"/>
  <c r="H9" i="13"/>
  <c r="G9" i="13"/>
  <c r="F9" i="13"/>
  <c r="E9" i="13"/>
  <c r="D9" i="13"/>
  <c r="C9" i="13"/>
  <c r="B9" i="13"/>
  <c r="A9" i="13"/>
  <c r="H8" i="13"/>
  <c r="G8" i="13"/>
  <c r="F8" i="13"/>
  <c r="E8" i="13"/>
  <c r="D8" i="13"/>
  <c r="C8" i="13"/>
  <c r="B8" i="13"/>
  <c r="A8" i="13"/>
  <c r="H7" i="13"/>
  <c r="G7" i="13"/>
  <c r="F7" i="13"/>
  <c r="E7" i="13"/>
  <c r="D7" i="13"/>
  <c r="C7" i="13"/>
  <c r="B7" i="13"/>
  <c r="A7" i="13"/>
  <c r="H6" i="13"/>
  <c r="G6" i="13"/>
  <c r="F6" i="13"/>
  <c r="E6" i="13"/>
  <c r="D6" i="13"/>
  <c r="C6" i="13"/>
  <c r="B6" i="13"/>
  <c r="A6" i="13"/>
  <c r="H5" i="13"/>
  <c r="G5" i="13"/>
  <c r="F5" i="13"/>
  <c r="E5" i="13"/>
  <c r="D5" i="13"/>
  <c r="C5" i="13"/>
  <c r="B5" i="13"/>
  <c r="A5" i="13"/>
  <c r="I9" i="12"/>
  <c r="H9" i="12"/>
  <c r="G9" i="12"/>
  <c r="F9" i="12"/>
  <c r="E9" i="12"/>
  <c r="D9" i="12"/>
  <c r="C9" i="12"/>
  <c r="B9" i="12"/>
  <c r="A9" i="12"/>
  <c r="I8" i="12"/>
  <c r="H8" i="12"/>
  <c r="G8" i="12"/>
  <c r="F8" i="12"/>
  <c r="E8" i="12"/>
  <c r="D8" i="12"/>
  <c r="C8" i="12"/>
  <c r="B8" i="12"/>
  <c r="A8" i="12"/>
  <c r="I7" i="12"/>
  <c r="H7" i="12"/>
  <c r="G7" i="12"/>
  <c r="F7" i="12"/>
  <c r="E7" i="12"/>
  <c r="D7" i="12"/>
  <c r="C7" i="12"/>
  <c r="B7" i="12"/>
  <c r="A7" i="12"/>
  <c r="I6" i="12"/>
  <c r="H6" i="12"/>
  <c r="G6" i="12"/>
  <c r="F6" i="12"/>
  <c r="E6" i="12"/>
  <c r="D6" i="12"/>
  <c r="C6" i="12"/>
  <c r="B6" i="12"/>
  <c r="A6" i="12"/>
  <c r="I5" i="12"/>
  <c r="H5" i="12"/>
  <c r="G5" i="12"/>
  <c r="F5" i="12"/>
  <c r="E5" i="12"/>
  <c r="D5" i="12"/>
  <c r="C5" i="12"/>
  <c r="B5" i="12"/>
  <c r="A5" i="12"/>
  <c r="B10" i="11"/>
  <c r="C48" i="10"/>
  <c r="B48" i="10"/>
  <c r="C47" i="10"/>
  <c r="B47" i="10"/>
  <c r="C46" i="10"/>
  <c r="B46" i="10"/>
  <c r="C45" i="10"/>
  <c r="B45" i="10"/>
  <c r="C44" i="10"/>
  <c r="B44" i="10"/>
  <c r="C43" i="10"/>
  <c r="B43" i="10"/>
  <c r="G37" i="10"/>
  <c r="F37" i="10"/>
  <c r="E37" i="10"/>
  <c r="D37" i="10"/>
  <c r="C37" i="10"/>
  <c r="B37" i="10"/>
  <c r="G36" i="10"/>
  <c r="F36" i="10"/>
  <c r="E36" i="10"/>
  <c r="D36" i="10"/>
  <c r="C36" i="10"/>
  <c r="G35" i="10"/>
  <c r="F35" i="10"/>
  <c r="E35" i="10"/>
  <c r="D35" i="10"/>
  <c r="C35" i="10"/>
  <c r="B35" i="10"/>
  <c r="G31" i="10"/>
  <c r="F31" i="10"/>
  <c r="E31" i="10"/>
  <c r="D31" i="10"/>
  <c r="C31" i="10"/>
  <c r="B31" i="10"/>
  <c r="G30" i="10"/>
  <c r="F30" i="10"/>
  <c r="E30" i="10"/>
  <c r="D30" i="10"/>
  <c r="C30" i="10"/>
  <c r="B30" i="10"/>
  <c r="G27" i="10"/>
  <c r="F27" i="10"/>
  <c r="E27" i="10"/>
  <c r="D27" i="10"/>
  <c r="C27" i="10"/>
  <c r="B27" i="10"/>
  <c r="D26" i="10"/>
  <c r="B25" i="10"/>
  <c r="B24" i="10"/>
  <c r="B23" i="10"/>
  <c r="G20" i="10"/>
  <c r="F20" i="10"/>
  <c r="E20" i="10"/>
  <c r="D20" i="10"/>
  <c r="C20" i="10"/>
  <c r="B20" i="10"/>
  <c r="C19" i="10"/>
  <c r="B19" i="10"/>
  <c r="B18" i="10"/>
  <c r="G17" i="10"/>
  <c r="F17" i="10"/>
  <c r="E17" i="10"/>
  <c r="D17" i="10"/>
  <c r="C17" i="10"/>
  <c r="B17" i="10"/>
  <c r="G14" i="10"/>
  <c r="F14" i="10"/>
  <c r="E14" i="10"/>
  <c r="D14" i="10"/>
  <c r="C14" i="10"/>
  <c r="B14" i="10"/>
  <c r="G13" i="10"/>
  <c r="F13" i="10"/>
  <c r="E13" i="10"/>
  <c r="D13" i="10"/>
  <c r="C13" i="10"/>
  <c r="G11" i="10"/>
  <c r="F11" i="10"/>
  <c r="E11" i="10"/>
  <c r="D11" i="10"/>
  <c r="C11" i="10"/>
  <c r="G10" i="10"/>
  <c r="F10" i="10"/>
  <c r="E10" i="10"/>
  <c r="D10" i="10"/>
  <c r="C10" i="10"/>
  <c r="G9" i="10"/>
  <c r="F9" i="10"/>
  <c r="E9" i="10"/>
  <c r="D9" i="10"/>
  <c r="C9" i="10"/>
  <c r="G6" i="10"/>
  <c r="F6" i="10"/>
  <c r="E6" i="10"/>
  <c r="D6" i="10"/>
  <c r="C6" i="10"/>
  <c r="D48" i="9"/>
  <c r="C48" i="9"/>
  <c r="B48" i="9"/>
  <c r="D47" i="9"/>
  <c r="C47" i="9"/>
  <c r="B47" i="9"/>
  <c r="D46" i="9"/>
  <c r="C46" i="9"/>
  <c r="B46" i="9"/>
  <c r="D45" i="9"/>
  <c r="C45" i="9"/>
  <c r="B45" i="9"/>
  <c r="D44" i="9"/>
  <c r="C44" i="9"/>
  <c r="B44" i="9"/>
  <c r="D43" i="9"/>
  <c r="C43" i="9"/>
  <c r="B43" i="9"/>
  <c r="G37" i="9"/>
  <c r="F37" i="9"/>
  <c r="E37" i="9"/>
  <c r="D37" i="9"/>
  <c r="C37" i="9"/>
  <c r="G36" i="9"/>
  <c r="F36" i="9"/>
  <c r="E36" i="9"/>
  <c r="D36" i="9"/>
  <c r="C36" i="9"/>
  <c r="B36" i="9"/>
  <c r="G35" i="9"/>
  <c r="F35" i="9"/>
  <c r="E35" i="9"/>
  <c r="D35" i="9"/>
  <c r="C35" i="9"/>
  <c r="G31" i="9"/>
  <c r="F31" i="9"/>
  <c r="E31" i="9"/>
  <c r="D31" i="9"/>
  <c r="C31" i="9"/>
  <c r="B31" i="9"/>
  <c r="G29" i="9"/>
  <c r="F29" i="9"/>
  <c r="E29" i="9"/>
  <c r="D29" i="9"/>
  <c r="C29" i="9"/>
  <c r="B29" i="9"/>
  <c r="G27" i="9"/>
  <c r="F27" i="9"/>
  <c r="E27" i="9"/>
  <c r="D27" i="9"/>
  <c r="C27" i="9"/>
  <c r="B27" i="9"/>
  <c r="G26" i="9"/>
  <c r="F26" i="9"/>
  <c r="E26" i="9"/>
  <c r="D26" i="9"/>
  <c r="C26" i="9"/>
  <c r="G25" i="9"/>
  <c r="F25" i="9"/>
  <c r="E25" i="9"/>
  <c r="D25" i="9"/>
  <c r="C25" i="9"/>
  <c r="G24" i="9"/>
  <c r="F24" i="9"/>
  <c r="E24" i="9"/>
  <c r="D24" i="9"/>
  <c r="C24" i="9"/>
  <c r="B24" i="9"/>
  <c r="G23" i="9"/>
  <c r="F23" i="9"/>
  <c r="E23" i="9"/>
  <c r="D23" i="9"/>
  <c r="C23" i="9"/>
  <c r="B23" i="9"/>
  <c r="G19" i="9"/>
  <c r="F19" i="9"/>
  <c r="E19" i="9"/>
  <c r="D19" i="9"/>
  <c r="C19" i="9"/>
  <c r="B19" i="9"/>
  <c r="B18" i="9"/>
  <c r="G17" i="9"/>
  <c r="F17" i="9"/>
  <c r="E17" i="9"/>
  <c r="D17" i="9"/>
  <c r="C17" i="9"/>
  <c r="G16" i="9"/>
  <c r="F16" i="9"/>
  <c r="E16" i="9"/>
  <c r="D16" i="9"/>
  <c r="C16" i="9"/>
  <c r="G12" i="9"/>
  <c r="F12" i="9"/>
  <c r="E12" i="9"/>
  <c r="D12" i="9"/>
  <c r="C12" i="9"/>
  <c r="B12" i="9"/>
  <c r="G11" i="9"/>
  <c r="F11" i="9"/>
  <c r="E11" i="9"/>
  <c r="D11" i="9"/>
  <c r="C11" i="9"/>
  <c r="B11" i="9"/>
  <c r="G10" i="9"/>
  <c r="F10" i="9"/>
  <c r="E10" i="9"/>
  <c r="D10" i="9"/>
  <c r="C10" i="9"/>
  <c r="B10" i="9"/>
  <c r="G9" i="9"/>
  <c r="F9" i="9"/>
  <c r="E9" i="9"/>
  <c r="D9" i="9"/>
  <c r="C9" i="9"/>
  <c r="G8" i="9"/>
  <c r="F8" i="9"/>
  <c r="E8" i="9"/>
  <c r="D8" i="9"/>
  <c r="C8" i="9"/>
  <c r="B8" i="9"/>
  <c r="G7" i="9"/>
  <c r="F7" i="9"/>
  <c r="E7" i="9"/>
  <c r="D7" i="9"/>
  <c r="C7" i="9"/>
  <c r="B7" i="9"/>
  <c r="G6" i="9"/>
  <c r="F6" i="9"/>
  <c r="E6" i="9"/>
  <c r="D6" i="9"/>
  <c r="C6" i="9"/>
  <c r="B6" i="9"/>
  <c r="B42" i="8"/>
  <c r="C35" i="8"/>
  <c r="C31" i="8"/>
  <c r="C30" i="8"/>
  <c r="C29" i="8"/>
  <c r="C28" i="8"/>
  <c r="D23" i="8"/>
  <c r="C23" i="8"/>
  <c r="D22" i="8"/>
  <c r="D21" i="8"/>
  <c r="D20" i="8"/>
  <c r="D19" i="8"/>
  <c r="B15" i="8"/>
  <c r="E32" i="8" s="1"/>
  <c r="B12" i="8"/>
  <c r="B7" i="8"/>
  <c r="B9" i="8" s="1"/>
  <c r="B10" i="8" s="1"/>
  <c r="B5" i="8"/>
  <c r="C77" i="7"/>
  <c r="B77" i="7"/>
  <c r="B76" i="7"/>
  <c r="B75" i="7"/>
  <c r="B74" i="7"/>
  <c r="E69" i="7"/>
  <c r="D69" i="7"/>
  <c r="C69" i="7"/>
  <c r="B69" i="7"/>
  <c r="E65" i="7"/>
  <c r="D65" i="7"/>
  <c r="C65" i="7"/>
  <c r="B65" i="7"/>
  <c r="E64" i="7"/>
  <c r="D64" i="7"/>
  <c r="C64" i="7"/>
  <c r="B64" i="7"/>
  <c r="E63" i="7"/>
  <c r="D63" i="7"/>
  <c r="E62" i="7"/>
  <c r="D62" i="7"/>
  <c r="E61" i="7"/>
  <c r="D61" i="7"/>
  <c r="E58" i="7"/>
  <c r="D58" i="7"/>
  <c r="C58" i="7"/>
  <c r="B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48" i="7"/>
  <c r="D48" i="7"/>
  <c r="C48" i="7"/>
  <c r="B48" i="7"/>
  <c r="E47" i="7"/>
  <c r="D47" i="7"/>
  <c r="E46" i="7"/>
  <c r="D46" i="7"/>
  <c r="E45" i="7"/>
  <c r="D45" i="7"/>
  <c r="C45" i="7"/>
  <c r="E44" i="7"/>
  <c r="D44" i="7"/>
  <c r="C44" i="7"/>
  <c r="E43" i="7"/>
  <c r="D43" i="7"/>
  <c r="C43" i="7"/>
  <c r="E42" i="7"/>
  <c r="D42" i="7"/>
  <c r="E39" i="7"/>
  <c r="D39" i="7"/>
  <c r="C39" i="7"/>
  <c r="B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29" i="7"/>
  <c r="D29" i="7"/>
  <c r="C29" i="7"/>
  <c r="B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19" i="7"/>
  <c r="D19" i="7"/>
  <c r="C19" i="7"/>
  <c r="B19" i="7"/>
  <c r="E18" i="7"/>
  <c r="D18" i="7"/>
  <c r="E17" i="7"/>
  <c r="D17" i="7"/>
  <c r="E16" i="7"/>
  <c r="D16" i="7"/>
  <c r="E15" i="7"/>
  <c r="D15" i="7"/>
  <c r="E14" i="7"/>
  <c r="D14" i="7"/>
  <c r="E11" i="7"/>
  <c r="D11" i="7"/>
  <c r="C11" i="7"/>
  <c r="B11" i="7"/>
  <c r="E10" i="7"/>
  <c r="D10" i="7"/>
  <c r="E9" i="7"/>
  <c r="D9" i="7"/>
  <c r="E8" i="7"/>
  <c r="D8" i="7"/>
  <c r="E7" i="7"/>
  <c r="D7" i="7"/>
  <c r="E6" i="7"/>
  <c r="D6" i="7"/>
  <c r="F63" i="6"/>
  <c r="E63" i="6"/>
  <c r="D63" i="6"/>
  <c r="C63" i="6"/>
  <c r="B63" i="6"/>
  <c r="F62" i="6"/>
  <c r="E62" i="6"/>
  <c r="D62" i="6"/>
  <c r="C62" i="6"/>
  <c r="B62" i="6"/>
  <c r="F61" i="6"/>
  <c r="E61" i="6"/>
  <c r="D61" i="6"/>
  <c r="C61" i="6"/>
  <c r="B61" i="6"/>
  <c r="F60" i="6"/>
  <c r="E60" i="6"/>
  <c r="D60" i="6"/>
  <c r="C60" i="6"/>
  <c r="B60" i="6"/>
  <c r="F59" i="6"/>
  <c r="E59" i="6"/>
  <c r="D59" i="6"/>
  <c r="C59" i="6"/>
  <c r="B59" i="6"/>
  <c r="F58" i="6"/>
  <c r="E58" i="6"/>
  <c r="D58" i="6"/>
  <c r="C58" i="6"/>
  <c r="B58" i="6"/>
  <c r="F57" i="6"/>
  <c r="E57" i="6"/>
  <c r="D57" i="6"/>
  <c r="C57" i="6"/>
  <c r="B57" i="6"/>
  <c r="G52" i="6"/>
  <c r="F52" i="6"/>
  <c r="E52" i="6"/>
  <c r="D52" i="6"/>
  <c r="C52" i="6"/>
  <c r="B52" i="6"/>
  <c r="G51" i="6"/>
  <c r="F51" i="6"/>
  <c r="E51" i="6"/>
  <c r="D51" i="6"/>
  <c r="C51" i="6"/>
  <c r="B51" i="6"/>
  <c r="G50" i="6"/>
  <c r="F50" i="6"/>
  <c r="E50" i="6"/>
  <c r="D50" i="6"/>
  <c r="C50" i="6"/>
  <c r="B50" i="6"/>
  <c r="G49" i="6"/>
  <c r="F49" i="6"/>
  <c r="E49" i="6"/>
  <c r="D49" i="6"/>
  <c r="C49" i="6"/>
  <c r="B49" i="6"/>
  <c r="G48" i="6"/>
  <c r="F48" i="6"/>
  <c r="E48" i="6"/>
  <c r="D48" i="6"/>
  <c r="C48" i="6"/>
  <c r="B48" i="6"/>
  <c r="K43" i="6"/>
  <c r="D43" i="6"/>
  <c r="C43" i="6"/>
  <c r="B43" i="6"/>
  <c r="K42" i="6"/>
  <c r="D42" i="6"/>
  <c r="C42" i="6"/>
  <c r="B42" i="6"/>
  <c r="D41" i="6"/>
  <c r="C41" i="6"/>
  <c r="B41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B24" i="6"/>
  <c r="D23" i="6"/>
  <c r="C23" i="6"/>
  <c r="B23" i="6"/>
  <c r="D22" i="6"/>
  <c r="C22" i="6"/>
  <c r="B22" i="6"/>
  <c r="D21" i="6"/>
  <c r="C21" i="6"/>
  <c r="D20" i="6"/>
  <c r="C20" i="6"/>
  <c r="D19" i="6"/>
  <c r="C19" i="6"/>
  <c r="B19" i="6"/>
  <c r="D18" i="6"/>
  <c r="C18" i="6"/>
  <c r="B18" i="6"/>
  <c r="D14" i="6"/>
  <c r="C14" i="6"/>
  <c r="B14" i="6"/>
  <c r="E12" i="6"/>
  <c r="D12" i="6"/>
  <c r="C12" i="6"/>
  <c r="B12" i="6"/>
  <c r="E11" i="6"/>
  <c r="D11" i="6"/>
  <c r="C11" i="6"/>
  <c r="B11" i="6"/>
  <c r="B7" i="6"/>
  <c r="B6" i="6"/>
  <c r="F64" i="5"/>
  <c r="E64" i="5"/>
  <c r="D64" i="5"/>
  <c r="C64" i="5"/>
  <c r="B64" i="5"/>
  <c r="F63" i="5"/>
  <c r="E63" i="5"/>
  <c r="D63" i="5"/>
  <c r="C63" i="5"/>
  <c r="B63" i="5"/>
  <c r="F62" i="5"/>
  <c r="E62" i="5"/>
  <c r="D62" i="5"/>
  <c r="C62" i="5"/>
  <c r="B62" i="5"/>
  <c r="F61" i="5"/>
  <c r="E61" i="5"/>
  <c r="D61" i="5"/>
  <c r="C61" i="5"/>
  <c r="B61" i="5"/>
  <c r="F60" i="5"/>
  <c r="E60" i="5"/>
  <c r="D60" i="5"/>
  <c r="C60" i="5"/>
  <c r="B60" i="5"/>
  <c r="F59" i="5"/>
  <c r="E59" i="5"/>
  <c r="D59" i="5"/>
  <c r="C59" i="5"/>
  <c r="B59" i="5"/>
  <c r="F58" i="5"/>
  <c r="E58" i="5"/>
  <c r="D58" i="5"/>
  <c r="C58" i="5"/>
  <c r="B58" i="5"/>
  <c r="F57" i="5"/>
  <c r="E57" i="5"/>
  <c r="D57" i="5"/>
  <c r="C57" i="5"/>
  <c r="B57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K43" i="5"/>
  <c r="D43" i="5"/>
  <c r="C43" i="5"/>
  <c r="B43" i="5"/>
  <c r="K42" i="5"/>
  <c r="D42" i="5"/>
  <c r="C42" i="5"/>
  <c r="B42" i="5"/>
  <c r="D41" i="5"/>
  <c r="C41" i="5"/>
  <c r="B41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B24" i="5"/>
  <c r="D23" i="5"/>
  <c r="C23" i="5"/>
  <c r="B23" i="5"/>
  <c r="D22" i="5"/>
  <c r="C22" i="5"/>
  <c r="B22" i="5"/>
  <c r="D21" i="5"/>
  <c r="C21" i="5"/>
  <c r="D20" i="5"/>
  <c r="C20" i="5"/>
  <c r="D19" i="5"/>
  <c r="C19" i="5"/>
  <c r="B19" i="5"/>
  <c r="D18" i="5"/>
  <c r="C18" i="5"/>
  <c r="B18" i="5"/>
  <c r="D14" i="5"/>
  <c r="C14" i="5"/>
  <c r="B14" i="5"/>
  <c r="E12" i="5"/>
  <c r="D12" i="5"/>
  <c r="C12" i="5"/>
  <c r="B12" i="5"/>
  <c r="E11" i="5"/>
  <c r="D11" i="5"/>
  <c r="C11" i="5"/>
  <c r="B11" i="5"/>
  <c r="B7" i="5"/>
  <c r="B6" i="5"/>
  <c r="B81" i="4"/>
  <c r="B80" i="4"/>
  <c r="B79" i="4"/>
  <c r="B78" i="4"/>
  <c r="B77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B62" i="4"/>
  <c r="B61" i="4"/>
  <c r="B60" i="4"/>
  <c r="B59" i="4"/>
  <c r="B55" i="4"/>
  <c r="B54" i="4"/>
  <c r="B53" i="4"/>
  <c r="B52" i="4"/>
  <c r="B51" i="4"/>
  <c r="B50" i="4"/>
  <c r="B40" i="4"/>
  <c r="B39" i="4"/>
  <c r="B12" i="4"/>
  <c r="B10" i="4"/>
  <c r="F54" i="3"/>
  <c r="E54" i="3"/>
  <c r="D54" i="3"/>
  <c r="C54" i="3"/>
  <c r="B54" i="3"/>
  <c r="F53" i="3"/>
  <c r="E53" i="3"/>
  <c r="D53" i="3"/>
  <c r="C53" i="3"/>
  <c r="F52" i="3"/>
  <c r="E52" i="3"/>
  <c r="D52" i="3"/>
  <c r="C52" i="3"/>
  <c r="F51" i="3"/>
  <c r="E51" i="3"/>
  <c r="D51" i="3"/>
  <c r="C51" i="3"/>
  <c r="B51" i="3"/>
  <c r="F50" i="3"/>
  <c r="E50" i="3"/>
  <c r="D50" i="3"/>
  <c r="C50" i="3"/>
  <c r="B50" i="3"/>
  <c r="F49" i="3"/>
  <c r="E49" i="3"/>
  <c r="D49" i="3"/>
  <c r="C49" i="3"/>
  <c r="B49" i="3"/>
  <c r="F48" i="3"/>
  <c r="E48" i="3"/>
  <c r="D48" i="3"/>
  <c r="C48" i="3"/>
  <c r="B48" i="3"/>
  <c r="F47" i="3"/>
  <c r="E47" i="3"/>
  <c r="D47" i="3"/>
  <c r="C47" i="3"/>
  <c r="B47" i="3"/>
  <c r="F46" i="3"/>
  <c r="E46" i="3"/>
  <c r="D46" i="3"/>
  <c r="C46" i="3"/>
  <c r="B46" i="3"/>
  <c r="F41" i="3"/>
  <c r="E41" i="3"/>
  <c r="D41" i="3"/>
  <c r="C41" i="3"/>
  <c r="H40" i="3"/>
  <c r="G40" i="3"/>
  <c r="F40" i="3"/>
  <c r="E40" i="3"/>
  <c r="D40" i="3"/>
  <c r="C40" i="3"/>
  <c r="B40" i="3"/>
  <c r="G38" i="3"/>
  <c r="F38" i="3"/>
  <c r="E38" i="3"/>
  <c r="D38" i="3"/>
  <c r="C38" i="3"/>
  <c r="B38" i="3"/>
  <c r="H37" i="3"/>
  <c r="G37" i="3"/>
  <c r="F37" i="3"/>
  <c r="E37" i="3"/>
  <c r="D37" i="3"/>
  <c r="C37" i="3"/>
  <c r="B37" i="3"/>
  <c r="H36" i="3"/>
  <c r="G36" i="3"/>
  <c r="F36" i="3"/>
  <c r="E36" i="3"/>
  <c r="D36" i="3"/>
  <c r="C36" i="3"/>
  <c r="B36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7" i="3"/>
  <c r="F27" i="3"/>
  <c r="E27" i="3"/>
  <c r="D27" i="3"/>
  <c r="C27" i="3"/>
  <c r="B27" i="3"/>
  <c r="H26" i="3"/>
  <c r="G26" i="3"/>
  <c r="F26" i="3"/>
  <c r="E26" i="3"/>
  <c r="D26" i="3"/>
  <c r="C26" i="3"/>
  <c r="B26" i="3"/>
  <c r="H25" i="3"/>
  <c r="G25" i="3"/>
  <c r="F25" i="3"/>
  <c r="E25" i="3"/>
  <c r="D25" i="3"/>
  <c r="C25" i="3"/>
  <c r="B25" i="3"/>
  <c r="G23" i="3"/>
  <c r="F23" i="3"/>
  <c r="E23" i="3"/>
  <c r="D23" i="3"/>
  <c r="C23" i="3"/>
  <c r="B23" i="3"/>
  <c r="G22" i="3"/>
  <c r="F22" i="3"/>
  <c r="E22" i="3"/>
  <c r="D22" i="3"/>
  <c r="C22" i="3"/>
  <c r="B22" i="3"/>
  <c r="H21" i="3"/>
  <c r="G21" i="3"/>
  <c r="F21" i="3"/>
  <c r="E21" i="3"/>
  <c r="D21" i="3"/>
  <c r="C21" i="3"/>
  <c r="B21" i="3"/>
  <c r="H19" i="3"/>
  <c r="G19" i="3"/>
  <c r="F19" i="3"/>
  <c r="E19" i="3"/>
  <c r="D19" i="3"/>
  <c r="C19" i="3"/>
  <c r="B19" i="3"/>
  <c r="H18" i="3"/>
  <c r="G18" i="3"/>
  <c r="F18" i="3"/>
  <c r="E18" i="3"/>
  <c r="D18" i="3"/>
  <c r="C18" i="3"/>
  <c r="B18" i="3"/>
  <c r="H17" i="3"/>
  <c r="G17" i="3"/>
  <c r="F17" i="3"/>
  <c r="E17" i="3"/>
  <c r="D17" i="3"/>
  <c r="C17" i="3"/>
  <c r="B17" i="3"/>
  <c r="D64" i="2"/>
  <c r="D63" i="2"/>
  <c r="D62" i="2"/>
  <c r="D61" i="2"/>
  <c r="D60" i="2"/>
  <c r="D51" i="2"/>
  <c r="D50" i="2"/>
  <c r="D49" i="2"/>
  <c r="D48" i="2"/>
  <c r="D47" i="2"/>
  <c r="D45" i="2"/>
  <c r="D42" i="2"/>
  <c r="D41" i="2"/>
  <c r="D40" i="2"/>
  <c r="D39" i="2"/>
  <c r="D38" i="2"/>
  <c r="H35" i="2"/>
  <c r="G35" i="2"/>
  <c r="F35" i="2"/>
  <c r="E35" i="2"/>
  <c r="D35" i="2"/>
  <c r="C35" i="2"/>
  <c r="B35" i="2"/>
  <c r="H34" i="2"/>
  <c r="G34" i="2"/>
  <c r="F34" i="2"/>
  <c r="E34" i="2"/>
  <c r="D34" i="2"/>
  <c r="C34" i="2"/>
  <c r="B34" i="2"/>
  <c r="H33" i="2"/>
  <c r="G33" i="2"/>
  <c r="F33" i="2"/>
  <c r="E33" i="2"/>
  <c r="D33" i="2"/>
  <c r="C33" i="2"/>
  <c r="B33" i="2"/>
  <c r="H32" i="2"/>
  <c r="G32" i="2"/>
  <c r="F32" i="2"/>
  <c r="E32" i="2"/>
  <c r="D32" i="2"/>
  <c r="C32" i="2"/>
  <c r="B32" i="2"/>
  <c r="H31" i="2"/>
  <c r="G31" i="2"/>
  <c r="F31" i="2"/>
  <c r="E31" i="2"/>
  <c r="D31" i="2"/>
  <c r="C31" i="2"/>
  <c r="B31" i="2"/>
  <c r="H30" i="2"/>
  <c r="G30" i="2"/>
  <c r="F30" i="2"/>
  <c r="E30" i="2"/>
  <c r="D30" i="2"/>
  <c r="C30" i="2"/>
  <c r="B30" i="2"/>
  <c r="H29" i="2"/>
  <c r="G29" i="2"/>
  <c r="F29" i="2"/>
  <c r="E29" i="2"/>
  <c r="D29" i="2"/>
  <c r="C29" i="2"/>
  <c r="B29" i="2"/>
  <c r="D25" i="2"/>
  <c r="F24" i="2"/>
  <c r="D24" i="2"/>
  <c r="F23" i="2"/>
  <c r="D23" i="2"/>
  <c r="F22" i="2"/>
  <c r="D22" i="2"/>
  <c r="F21" i="2"/>
  <c r="D21" i="2"/>
  <c r="F20" i="2"/>
  <c r="D20" i="2"/>
  <c r="F19" i="2"/>
  <c r="D19" i="2"/>
  <c r="F18" i="2"/>
  <c r="D18" i="2"/>
  <c r="D15" i="2"/>
  <c r="D14" i="2"/>
  <c r="D13" i="2"/>
  <c r="D12" i="2"/>
  <c r="D11" i="2"/>
  <c r="E8" i="2"/>
  <c r="C8" i="2"/>
  <c r="A8" i="2"/>
  <c r="G6" i="2"/>
  <c r="E6" i="2"/>
  <c r="C6" i="2"/>
  <c r="A6" i="2"/>
  <c r="E61" i="1"/>
  <c r="E60" i="1"/>
  <c r="E59" i="1"/>
  <c r="E58" i="1"/>
  <c r="E57" i="1"/>
  <c r="E53" i="1"/>
  <c r="D53" i="1"/>
  <c r="C53" i="1"/>
  <c r="B53" i="1"/>
  <c r="E52" i="1"/>
  <c r="D52" i="1"/>
  <c r="C52" i="1"/>
  <c r="B52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D43" i="1"/>
  <c r="C43" i="1"/>
  <c r="B43" i="1"/>
  <c r="E42" i="1"/>
  <c r="D42" i="1"/>
  <c r="C42" i="1"/>
  <c r="B42" i="1"/>
  <c r="E41" i="1"/>
  <c r="D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E34" i="1"/>
  <c r="D34" i="1"/>
  <c r="C34" i="1"/>
  <c r="E33" i="1"/>
  <c r="D33" i="1"/>
  <c r="E32" i="1"/>
  <c r="D32" i="1"/>
  <c r="C32" i="1"/>
  <c r="E29" i="1"/>
  <c r="D29" i="1"/>
  <c r="C29" i="1"/>
  <c r="B29" i="1"/>
  <c r="E28" i="1"/>
  <c r="D28" i="1"/>
  <c r="E27" i="1"/>
  <c r="D27" i="1"/>
  <c r="C27" i="1"/>
  <c r="B27" i="1"/>
  <c r="E26" i="1"/>
  <c r="D26" i="1"/>
  <c r="C26" i="1"/>
  <c r="B26" i="1"/>
  <c r="E25" i="1"/>
  <c r="D25" i="1"/>
  <c r="B25" i="1"/>
  <c r="E24" i="1"/>
  <c r="D24" i="1"/>
  <c r="C24" i="1"/>
  <c r="B24" i="1"/>
  <c r="D18" i="1"/>
  <c r="C18" i="1"/>
  <c r="B18" i="1"/>
  <c r="E17" i="1"/>
  <c r="D17" i="1"/>
  <c r="C17" i="1"/>
  <c r="B17" i="1"/>
  <c r="E16" i="1"/>
  <c r="D16" i="1"/>
  <c r="E15" i="1"/>
  <c r="D15" i="1"/>
  <c r="C15" i="1"/>
  <c r="B15" i="1"/>
  <c r="E14" i="1"/>
  <c r="D14" i="1"/>
  <c r="C14" i="1"/>
  <c r="E13" i="1"/>
  <c r="D13" i="1"/>
  <c r="B13" i="1"/>
  <c r="E12" i="1"/>
  <c r="D12" i="1"/>
  <c r="C12" i="1"/>
  <c r="B12" i="1"/>
  <c r="E10" i="1"/>
  <c r="D10" i="1"/>
  <c r="C10" i="1"/>
  <c r="B10" i="1"/>
  <c r="E9" i="1"/>
  <c r="D9" i="1"/>
  <c r="B9" i="1"/>
  <c r="E8" i="1"/>
  <c r="D8" i="1"/>
  <c r="C8" i="1"/>
  <c r="E7" i="1"/>
  <c r="D7" i="1"/>
  <c r="B7" i="1"/>
  <c r="D46" i="2" l="1"/>
  <c r="B54" i="8"/>
  <c r="D56" i="2"/>
  <c r="D30" i="8"/>
  <c r="E30" i="8" s="1"/>
  <c r="D28" i="8"/>
  <c r="D31" i="8"/>
  <c r="E31" i="8" s="1"/>
  <c r="D29" i="8"/>
  <c r="E29" i="8" s="1"/>
  <c r="E33" i="8"/>
  <c r="G8" i="2"/>
  <c r="F32" i="8"/>
  <c r="D35" i="8" l="1"/>
  <c r="E28" i="8"/>
  <c r="D57" i="2"/>
  <c r="F33" i="8"/>
  <c r="B55" i="8"/>
  <c r="F29" i="8"/>
  <c r="D53" i="2"/>
  <c r="B51" i="8"/>
  <c r="B53" i="8"/>
  <c r="F31" i="8"/>
  <c r="D55" i="2"/>
  <c r="B52" i="8"/>
  <c r="D54" i="2"/>
  <c r="F30" i="8"/>
  <c r="B43" i="8" l="1"/>
  <c r="C43" i="8" s="1"/>
  <c r="D52" i="2"/>
  <c r="E35" i="8"/>
  <c r="B50" i="8"/>
  <c r="F28" i="8"/>
  <c r="F35" i="8" s="1"/>
  <c r="B44" i="8"/>
  <c r="C44" i="8" s="1"/>
</calcChain>
</file>

<file path=xl/sharedStrings.xml><?xml version="1.0" encoding="utf-8"?>
<sst xmlns="http://schemas.openxmlformats.org/spreadsheetml/2006/main" count="1247" uniqueCount="909">
  <si>
    <t>AURUM — MASTER P&amp;L SUMMARY</t>
  </si>
  <si>
    <t>→ Summary</t>
  </si>
  <si>
    <t>Revenue &amp; cost matrix by Physical vs AGP. Annualized base case. All USD.</t>
  </si>
  <si>
    <t>REVENUE</t>
  </si>
  <si>
    <t>Revenue Stream</t>
  </si>
  <si>
    <t>Physical</t>
  </si>
  <si>
    <t>AGP</t>
  </si>
  <si>
    <t>Total</t>
  </si>
  <si>
    <t>% of Rev</t>
  </si>
  <si>
    <t>Type</t>
  </si>
  <si>
    <t>— Premium revenue</t>
  </si>
  <si>
    <t xml:space="preserve">   Premium — Founders Plan</t>
  </si>
  <si>
    <t>Variable</t>
  </si>
  <si>
    <t xml:space="preserve">   Premium — AGP Plan</t>
  </si>
  <si>
    <t xml:space="preserve">   Premium — Basic</t>
  </si>
  <si>
    <t xml:space="preserve">   Subtotal: Premium revenue</t>
  </si>
  <si>
    <t>— Other revenue</t>
  </si>
  <si>
    <t xml:space="preserve">   Storage fees</t>
  </si>
  <si>
    <t>Recurring</t>
  </si>
  <si>
    <t xml:space="preserve">   Sell-back spread</t>
  </si>
  <si>
    <t xml:space="preserve">   Subscription (AGP+)</t>
  </si>
  <si>
    <t xml:space="preserve">   Insurance add-on</t>
  </si>
  <si>
    <t xml:space="preserve">   Other revenue</t>
  </si>
  <si>
    <t xml:space="preserve">   Subtotal: Other revenue</t>
  </si>
  <si>
    <t>TOTAL REVENUE</t>
  </si>
  <si>
    <t>100%</t>
  </si>
  <si>
    <t>COSTS</t>
  </si>
  <si>
    <t>Cost Center</t>
  </si>
  <si>
    <t>% of Cost</t>
  </si>
  <si>
    <t>Direct/Indirect</t>
  </si>
  <si>
    <t>— DIRECT COSTS</t>
  </si>
  <si>
    <t xml:space="preserve">   Wholesale (COGS)</t>
  </si>
  <si>
    <t>Direct</t>
  </si>
  <si>
    <t xml:space="preserve">   Founder Savings discount</t>
  </si>
  <si>
    <t xml:space="preserve">   KYC/AML per new customer</t>
  </si>
  <si>
    <t xml:space="preserve">   Storage pass-through</t>
  </si>
  <si>
    <t xml:space="preserve">   Other direct cost</t>
  </si>
  <si>
    <t xml:space="preserve">   Subtotal: Direct costs</t>
  </si>
  <si>
    <t>— INDIRECT COSTS</t>
  </si>
  <si>
    <t xml:space="preserve">   Marketing — Promotion (parent)</t>
  </si>
  <si>
    <t xml:space="preserve">     · Sign-up Gifts (sub)</t>
  </si>
  <si>
    <t>Indirect</t>
  </si>
  <si>
    <t xml:space="preserve">     · Founders campaign mktg (sub)</t>
  </si>
  <si>
    <t xml:space="preserve">     · AGP acquisition mktg (sub)</t>
  </si>
  <si>
    <t xml:space="preserve">     · AGP Sign-up campaign mktg (sub)</t>
  </si>
  <si>
    <t xml:space="preserve">   Subtotal: Marketing — Promotion</t>
  </si>
  <si>
    <t xml:space="preserve">   Marketing — Brand (always-on)</t>
  </si>
  <si>
    <t xml:space="preserve">   Compliance (PSPM, PIPA, audit)</t>
  </si>
  <si>
    <t xml:space="preserve">   Tech platform</t>
  </si>
  <si>
    <t xml:space="preserve">   Personnel</t>
  </si>
  <si>
    <t xml:space="preserve">   Other indirect cost</t>
  </si>
  <si>
    <t xml:space="preserve">   Subtotal: Indirect costs (Mktg-Promo + others)</t>
  </si>
  <si>
    <t>TOTAL COSTS</t>
  </si>
  <si>
    <t>GROSS MARGIN BY PRODUCT LINE</t>
  </si>
  <si>
    <t>Metric</t>
  </si>
  <si>
    <t>Combined</t>
  </si>
  <si>
    <t>% of Total</t>
  </si>
  <si>
    <t>Note</t>
  </si>
  <si>
    <t>Revenue</t>
  </si>
  <si>
    <t>Direct Costs</t>
  </si>
  <si>
    <t>Gross Profit</t>
  </si>
  <si>
    <t>Gross Margin %</t>
  </si>
  <si>
    <t>—</t>
  </si>
  <si>
    <t>Indirect Costs</t>
  </si>
  <si>
    <t>NET CONTRIBUTION</t>
  </si>
  <si>
    <t>VOLUME SNAPSHOT</t>
  </si>
  <si>
    <t>Active physical customers</t>
  </si>
  <si>
    <t>Active AGP customers (organic + sign-up)</t>
  </si>
  <si>
    <t>Founder Savings Patrons (across 5 gates)</t>
  </si>
  <si>
    <t>AGP Sign-ups generated (6-mo campaign)</t>
  </si>
  <si>
    <t>AGP customers from Sign-up campaign</t>
  </si>
  <si>
    <t>AURUM — INVESTOR SUMMARY</t>
  </si>
  <si>
    <t>↑ P&amp;L</t>
  </si>
  <si>
    <t>One-page snapshot of the entire model. All numbers auto-pull from source tabs. Designed for quick reads with investors.</t>
  </si>
  <si>
    <t>HEADLINE NUMBERS</t>
  </si>
  <si>
    <t>Y1 REVENUE</t>
  </si>
  <si>
    <t>Y5 REVENUE</t>
  </si>
  <si>
    <t>Y1 EBITDA</t>
  </si>
  <si>
    <t>Y5 EBITDA</t>
  </si>
  <si>
    <t>Y5 GROSS MARGIN</t>
  </si>
  <si>
    <t>CUMULATIVE 5Y EBITDA</t>
  </si>
  <si>
    <t>CASH NEEDED TO LAUNCH</t>
  </si>
  <si>
    <t>POST-MONEY VALUATION</t>
  </si>
  <si>
    <t>VOLUME &amp; GMV (Y1 base case)</t>
  </si>
  <si>
    <t>Total active customers (Y1)</t>
  </si>
  <si>
    <t>Physical + AGP</t>
  </si>
  <si>
    <t>Founder Savings Patrons</t>
  </si>
  <si>
    <t>Across 5 gates</t>
  </si>
  <si>
    <t>AGP active customers</t>
  </si>
  <si>
    <t>Organic + sign-up</t>
  </si>
  <si>
    <t>Total annual GMV (Y1)</t>
  </si>
  <si>
    <t>All channels</t>
  </si>
  <si>
    <t>Take rate (Revenue / GMV)</t>
  </si>
  <si>
    <t>Computed</t>
  </si>
  <si>
    <t>REVENUE BREAKDOWN (Y1)</t>
  </si>
  <si>
    <t>Premium — Founders Plan</t>
  </si>
  <si>
    <t>Premium — AGP Plan</t>
  </si>
  <si>
    <t>Premium — Basic</t>
  </si>
  <si>
    <t>Storage fees</t>
  </si>
  <si>
    <t>Sell-back spread</t>
  </si>
  <si>
    <t>AGP+ subscription</t>
  </si>
  <si>
    <t>Insurance add-on</t>
  </si>
  <si>
    <t>TOTAL Y1 REVENUE</t>
  </si>
  <si>
    <t>5-YEAR P&amp;L TRAJECTORY</t>
  </si>
  <si>
    <t>Line Item</t>
  </si>
  <si>
    <t>Y1</t>
  </si>
  <si>
    <t>Y2</t>
  </si>
  <si>
    <t>Y3</t>
  </si>
  <si>
    <t>Y4</t>
  </si>
  <si>
    <t>Y5</t>
  </si>
  <si>
    <t>5Y Total</t>
  </si>
  <si>
    <t>CAGR</t>
  </si>
  <si>
    <t>Total Revenue</t>
  </si>
  <si>
    <t>Total Indirect</t>
  </si>
  <si>
    <t>EBITDA</t>
  </si>
  <si>
    <t>EBITDA Margin</t>
  </si>
  <si>
    <t>VC METRICS — Y5 SNAPSHOT</t>
  </si>
  <si>
    <t>CAC (Customer Acquisition Cost)</t>
  </si>
  <si>
    <t>&lt;$200 healthy</t>
  </si>
  <si>
    <t>LTV (Customer Lifetime Value)</t>
  </si>
  <si>
    <t>&gt;$1K healthy</t>
  </si>
  <si>
    <t>LTV / CAC ratio</t>
  </si>
  <si>
    <t>&gt;3x healthy</t>
  </si>
  <si>
    <t>CAC Payback (months)</t>
  </si>
  <si>
    <t>&lt;24 mo healthy</t>
  </si>
  <si>
    <t>Rule of 40</t>
  </si>
  <si>
    <t>&gt;40% healthy</t>
  </si>
  <si>
    <t>EQUITY &amp; RAISE STRUCTURE</t>
  </si>
  <si>
    <t>Pre-money valuation</t>
  </si>
  <si>
    <t>Post-money valuation</t>
  </si>
  <si>
    <t>Equity round size</t>
  </si>
  <si>
    <t>Cash raised total</t>
  </si>
  <si>
    <t xml:space="preserve">  · Founders contribution</t>
  </si>
  <si>
    <t xml:space="preserve">  · SAFE / convertible note</t>
  </si>
  <si>
    <t xml:space="preserve">  · Seed equity round</t>
  </si>
  <si>
    <t>Post-seed equity — Thomas K. Jung</t>
  </si>
  <si>
    <t>Post-seed equity — Jae Chung</t>
  </si>
  <si>
    <t>Post-seed equity — Brian Lee</t>
  </si>
  <si>
    <t>Post-seed equity — ESOP</t>
  </si>
  <si>
    <t>Post-seed equity — SAFE holders</t>
  </si>
  <si>
    <t>Post-seed equity — New investors</t>
  </si>
  <si>
    <t>BALANCE SHEET &amp; CASH FLOW (Y5)</t>
  </si>
  <si>
    <t>Y5 cash on balance sheet</t>
  </si>
  <si>
    <t>Y5 total assets</t>
  </si>
  <si>
    <t>Y5 customer deposits (custodial)</t>
  </si>
  <si>
    <t>Y5 free cash flow</t>
  </si>
  <si>
    <t>5Y cumulative free cash flow</t>
  </si>
  <si>
    <t>STRATEGIC RECOMMENDATIONS — TOP PRIORITIES</t>
  </si>
  <si>
    <t>I</t>
  </si>
  <si>
    <t>Lead with Founders Plan — relationships not funnels</t>
  </si>
  <si>
    <t>CRITICAL</t>
  </si>
  <si>
    <t>II</t>
  </si>
  <si>
    <t>Run AGP Sign-up campaign as launch accelerant (months 6-12)</t>
  </si>
  <si>
    <t>HIGH</t>
  </si>
  <si>
    <t>III</t>
  </si>
  <si>
    <t>Hold storage fees at 0.5% AUC — AUC growth &gt; storage revenue</t>
  </si>
  <si>
    <t>IV</t>
  </si>
  <si>
    <t>Negotiate wholesale spread aggressively — 0.25% = pure margin at scale</t>
  </si>
  <si>
    <t>V</t>
  </si>
  <si>
    <t>Do not underspend on PSPM/PIPA — moat depends on it</t>
  </si>
  <si>
    <t>VI</t>
  </si>
  <si>
    <t>Singapore vault is the differentiator — communicate relentlessly</t>
  </si>
  <si>
    <t>VII</t>
  </si>
  <si>
    <t>Reinvest first 18 months EBITDA — no distributions until Y4+</t>
  </si>
  <si>
    <t>STANDARD</t>
  </si>
  <si>
    <t>VIII</t>
  </si>
  <si>
    <t>Premium drift annually 5% — Korean retail at +20-30% sets the reference</t>
  </si>
  <si>
    <t>ONE-LINE BUSINESS CASE</t>
  </si>
  <si>
    <t>Korean MZ HNW investors pay a 20-30% domestic premium for trapped physical gold. Aurum offers them international spot + Singapore FTZ vault custody — turning the savings into a recurring AGP relationship that compounds. Capital-efficient by Year 2, gross-margin attractive throughout, and the Singapore + LBMA chain is a moat domestic Korean entrants cannot replicate inside 18 months.</t>
  </si>
  <si>
    <t>— Aurum Pte Ltd | Founders: Thomas K. Jung, Jae Chung, Brian Lee | All projections directional; subject to market, regulatory, and execution risk.</t>
  </si>
  <si>
    <t>AURUM — 5-YEAR FORECAST</t>
  </si>
  <si>
    <t>P&amp;L 5-year base + VC metrics + charts. Y1 pulls from Master P&amp;L. Growth via input multipliers.</t>
  </si>
  <si>
    <t>GROWTH ASSUMPTIONS</t>
  </si>
  <si>
    <t>Lever</t>
  </si>
  <si>
    <t>Notes</t>
  </si>
  <si>
    <t>Customer count growth (Physical)</t>
  </si>
  <si>
    <t>Year-over-year multiplier</t>
  </si>
  <si>
    <t>AGP customer growth</t>
  </si>
  <si>
    <t>Faster — recurring stickiness</t>
  </si>
  <si>
    <t>Premium drift (price increase)</t>
  </si>
  <si>
    <t>Modest annual increase</t>
  </si>
  <si>
    <t>Direct cost efficiency multiplier</t>
  </si>
  <si>
    <t>&lt;1 = cost decreases per unit</t>
  </si>
  <si>
    <t>Indirect cost growth</t>
  </si>
  <si>
    <t>OpEx growth rate</t>
  </si>
  <si>
    <t>Marketing-Promotion intensity</t>
  </si>
  <si>
    <t>Drops after launch push</t>
  </si>
  <si>
    <t>5-YEAR P&amp;L (driven by Master P&amp;L Y1 + growth assumptions)</t>
  </si>
  <si>
    <t>Physical revenue</t>
  </si>
  <si>
    <t>AGP revenue</t>
  </si>
  <si>
    <t>Marketing — Promotion</t>
  </si>
  <si>
    <t>Other Indirect (Brand+Compliance+Tech+People)</t>
  </si>
  <si>
    <t>EBITDA (Net Contribution)</t>
  </si>
  <si>
    <t>EBITDA Margin %</t>
  </si>
  <si>
    <t>Cumulative EBITDA</t>
  </si>
  <si>
    <t>CUSTOMER METRICS</t>
  </si>
  <si>
    <t>5Y Total/Avg</t>
  </si>
  <si>
    <t>Active Physical customers</t>
  </si>
  <si>
    <t>Active AGP customers</t>
  </si>
  <si>
    <t>Total active customers</t>
  </si>
  <si>
    <t>ARR (Annual Recurring Revenue)</t>
  </si>
  <si>
    <t>ARR growth %</t>
  </si>
  <si>
    <t>VC METRICS</t>
  </si>
  <si>
    <t>Definition</t>
  </si>
  <si>
    <t>Healthy?</t>
  </si>
  <si>
    <t>Marketing-Promotion / New customers</t>
  </si>
  <si>
    <t>&lt;$200</t>
  </si>
  <si>
    <t>Gross profit per customer × 3 yr avg life</t>
  </si>
  <si>
    <t>&gt;$1K</t>
  </si>
  <si>
    <t>Higher = more efficient growth</t>
  </si>
  <si>
    <t>&gt;3x</t>
  </si>
  <si>
    <t>Months to recover CAC from gross profit</t>
  </si>
  <si>
    <t>&lt;24 mo</t>
  </si>
  <si>
    <t>NRR (Net Revenue Retention)</t>
  </si>
  <si>
    <t>Existing customer revenue retention</t>
  </si>
  <si>
    <t>&gt;100%</t>
  </si>
  <si>
    <t>GRR (Gross Revenue Retention)</t>
  </si>
  <si>
    <t>Floor: pure retention without expansion</t>
  </si>
  <si>
    <t>&gt;85%</t>
  </si>
  <si>
    <t>Rule of 40 (ARR growth + EBITDA margin)</t>
  </si>
  <si>
    <t>ARR growth + EBITDA margin</t>
  </si>
  <si>
    <t>&gt;40%</t>
  </si>
  <si>
    <t>Magic Number</t>
  </si>
  <si>
    <t>(ΔRevenue×4)/Prior Marketing — sales efficiency</t>
  </si>
  <si>
    <t>&gt;0.75x</t>
  </si>
  <si>
    <t>Burn Multiple</t>
  </si>
  <si>
    <t>Net burn / Net new ARR — capital efficiency</t>
  </si>
  <si>
    <t>&lt;1.5x</t>
  </si>
  <si>
    <t>AURUM · PRICING LEVERS</t>
  </si>
  <si>
    <t>Premium structure that drives all downstream economics. All values in USD.</t>
  </si>
  <si>
    <t>AURUM PREMIUM CHARGE — THE PRIMARY LEVER</t>
  </si>
  <si>
    <t>Charged on top of international spot price. Editable. Drives all revenue lines.</t>
  </si>
  <si>
    <t>Aurum GOLD premium (% above spot)</t>
  </si>
  <si>
    <t>Modify to test scenarios — typical 1.5%-5.0% for HNW physical bullion</t>
  </si>
  <si>
    <t>Aurum SILVER premium (% above spot)</t>
  </si>
  <si>
    <t>Silver typically carries higher premium than gold (3%-8% range)</t>
  </si>
  <si>
    <t>% of customer GMV in gold</t>
  </si>
  <si>
    <t>Korean MZ + HNW skew gold-heavy</t>
  </si>
  <si>
    <t>% of customer GMV in silver</t>
  </si>
  <si>
    <t>(computed)</t>
  </si>
  <si>
    <t>BLENDED PREMIUM (gold-weighted + silver-weighted)</t>
  </si>
  <si>
    <t>OTHER FEE LEVERS</t>
  </si>
  <si>
    <t>Allocated storage fee % / yr (charged to customer)</t>
  </si>
  <si>
    <t>Aurum tiered</t>
  </si>
  <si>
    <t>AGP storage fee % / yr (charged)</t>
  </si>
  <si>
    <t>Lower than allocated</t>
  </si>
  <si>
    <t>Malca-Amit storage pass-through % / yr</t>
  </si>
  <si>
    <t>What we pay vault</t>
  </si>
  <si>
    <t>Sell-back spread % (below spot)</t>
  </si>
  <si>
    <t>Customer sells back</t>
  </si>
  <si>
    <t>Subscription price (AGP+) USD/month</t>
  </si>
  <si>
    <t>Robinhood Gold-style</t>
  </si>
  <si>
    <t>Subscription tier adoption % of AGP</t>
  </si>
  <si>
    <t>AGP+ opt-in rate</t>
  </si>
  <si>
    <t>Insurance add-on adoption %</t>
  </si>
  <si>
    <t>Insurance opt-in</t>
  </si>
  <si>
    <t>Insurance add-on fee % on AUC</t>
  </si>
  <si>
    <t>Fee charged</t>
  </si>
  <si>
    <t>Wholesale supplier spread % over spot (COGS)</t>
  </si>
  <si>
    <t>LBMA refiner cost</t>
  </si>
  <si>
    <t>KYC/AML cost per new customer (USD)</t>
  </si>
  <si>
    <t>Onboarding cost</t>
  </si>
  <si>
    <t>BASIC REVENUE LEVERS (one-off purchasers from sign-up funnel)</t>
  </si>
  <si>
    <t>% of non-converting signups who make a basic one-off purchase</t>
  </si>
  <si>
    <t>Of signups that did NOT activate AGP</t>
  </si>
  <si>
    <t>Avg basic one-off purchase size (USD)</t>
  </si>
  <si>
    <t>Single transaction average</t>
  </si>
  <si>
    <t>FIXED MONTHLY COSTS (USD)</t>
  </si>
  <si>
    <t>Compliance (PSPM, PIPA, audit) — monthly</t>
  </si>
  <si>
    <t>GC memo</t>
  </si>
  <si>
    <t>Tech platform — monthly</t>
  </si>
  <si>
    <t>Hosting, KYC vendor</t>
  </si>
  <si>
    <t>Personnel — monthly</t>
  </si>
  <si>
    <t>Founder + 1 part-time</t>
  </si>
  <si>
    <t>Marketing — Brand (always-on, monthly)</t>
  </si>
  <si>
    <t>Brand-building, organic</t>
  </si>
  <si>
    <t>SPOT PRICES (drives waterfalls)</t>
  </si>
  <si>
    <t>Global GOLD spot (USD/oz)</t>
  </si>
  <si>
    <t>GoldAPI live or manual</t>
  </si>
  <si>
    <t>Global SILVER spot (USD/oz)</t>
  </si>
  <si>
    <t>Silver spot</t>
  </si>
  <si>
    <t>Korean GOLD retail (USD/oz, incl 10% VAT)</t>
  </si>
  <si>
    <t>kumsise/koreagoldx scrape</t>
  </si>
  <si>
    <t>Korean SILVER retail (USD/oz, incl VAT)</t>
  </si>
  <si>
    <t>KR silver retail</t>
  </si>
  <si>
    <t>KRW/USD FX rate</t>
  </si>
  <si>
    <t>Live from open.er-api.com</t>
  </si>
  <si>
    <t>Korea VAT rate</t>
  </si>
  <si>
    <t>Standard 10%</t>
  </si>
  <si>
    <t>VOLUME &amp; GMV SNAPSHOT — pulled from all model tabs</t>
  </si>
  <si>
    <t>Executive snapshot — customer counts, GMV, revenue by category. All figures auto-pull from source tabs.</t>
  </si>
  <si>
    <t>👥  CUSTOMER COUNTS (annual base case)</t>
  </si>
  <si>
    <t>Value</t>
  </si>
  <si>
    <t>Source</t>
  </si>
  <si>
    <t>Active physical customers (M6 base)</t>
  </si>
  <si>
    <t>Tab 5</t>
  </si>
  <si>
    <t>Tab 7</t>
  </si>
  <si>
    <t>Tab 10</t>
  </si>
  <si>
    <t>AGP customers from sign-up campaign</t>
  </si>
  <si>
    <t>Tab 12</t>
  </si>
  <si>
    <t>Total signups (6-mo campaign)</t>
  </si>
  <si>
    <t>💰  GMV (Gross Merchandise Value, annual)</t>
  </si>
  <si>
    <t>Founders Plan GMV (5 gates × patrons)</t>
  </si>
  <si>
    <t>Tabs 5+7</t>
  </si>
  <si>
    <t>AGP Plan GMV (organic + sign-up campaign)</t>
  </si>
  <si>
    <t>Tabs 10+12</t>
  </si>
  <si>
    <t>Basic one-off purchases GMV</t>
  </si>
  <si>
    <t>Tab 11 × levers</t>
  </si>
  <si>
    <t>TOTAL ANNUAL GMV</t>
  </si>
  <si>
    <t>Sum</t>
  </si>
  <si>
    <t>💵  REVENUE BY CATEGORY (annual)</t>
  </si>
  <si>
    <t>Category</t>
  </si>
  <si>
    <t>TOTAL ANNUAL REVENUE</t>
  </si>
  <si>
    <t>📊  TAKE RATE &amp; CONTRIBUTION</t>
  </si>
  <si>
    <t>Revenue ÷ GMV</t>
  </si>
  <si>
    <t>Total revenue</t>
  </si>
  <si>
    <t>Tab 1 D18</t>
  </si>
  <si>
    <t>Total GMV</t>
  </si>
  <si>
    <t>Net contribution (EBITDA proxy)</t>
  </si>
  <si>
    <t>Tab 1 D53</t>
  </si>
  <si>
    <t>Contribution margin %</t>
  </si>
  <si>
    <t>Tab 1</t>
  </si>
  <si>
    <t>GOLD PRICING WATERFALL — KOREAN RETAIL vs AURUM</t>
  </si>
  <si>
    <t>Build-up of Aurum gold pricing vs Korean retail. Per oz and per transaction. All inputs link to Pricing Levers.</t>
  </si>
  <si>
    <t>TOGGLES &amp; FX</t>
  </si>
  <si>
    <t>Display unit</t>
  </si>
  <si>
    <t>oz</t>
  </si>
  <si>
    <r>
      <rPr>
        <i/>
        <sz val="9"/>
        <color rgb="FF6B6760"/>
        <rFont val="Calibri"/>
        <family val="2"/>
        <charset val="1"/>
      </rPr>
      <t>Type "oz" / "g" / "</t>
    </r>
    <r>
      <rPr>
        <i/>
        <sz val="9"/>
        <color rgb="FF6B6760"/>
        <rFont val="Noto Sans CJK SC"/>
        <family val="2"/>
      </rPr>
      <t>돈</t>
    </r>
    <r>
      <rPr>
        <i/>
        <sz val="9"/>
        <color rgb="FF6B6760"/>
        <rFont val="Calibri"/>
        <family val="2"/>
        <charset val="1"/>
      </rPr>
      <t>" — affects conversion factor</t>
    </r>
  </si>
  <si>
    <t>Conversion factor (per unit)</t>
  </si>
  <si>
    <r>
      <rPr>
        <i/>
        <sz val="9"/>
        <color rgb="FF6B6760"/>
        <rFont val="Calibri"/>
        <family val="2"/>
        <charset val="1"/>
      </rPr>
      <t xml:space="preserve">oz=1, g=0.0322, </t>
    </r>
    <r>
      <rPr>
        <i/>
        <sz val="9"/>
        <color rgb="FF6B6760"/>
        <rFont val="Noto Sans CJK SC"/>
        <family val="2"/>
      </rPr>
      <t>돈</t>
    </r>
    <r>
      <rPr>
        <i/>
        <sz val="9"/>
        <color rgb="FF6B6760"/>
        <rFont val="Calibri"/>
        <family val="2"/>
        <charset val="1"/>
      </rPr>
      <t>(3.75g)=0.1206</t>
    </r>
  </si>
  <si>
    <t>KRW/USD FX</t>
  </si>
  <si>
    <t>From Pricing Levers</t>
  </si>
  <si>
    <t>SPOT PRICES (linked from Pricing Levers)</t>
  </si>
  <si>
    <t>USD/oz</t>
  </si>
  <si>
    <t>KRW/oz</t>
  </si>
  <si>
    <t>USD/unit</t>
  </si>
  <si>
    <t>KRW/unit</t>
  </si>
  <si>
    <t>Global gold spot</t>
  </si>
  <si>
    <t>GoldAPI feed</t>
  </si>
  <si>
    <t>Korean gold retail (incl 10% VAT)</t>
  </si>
  <si>
    <t>kumsise/koreagoldx 1g × 31.1035</t>
  </si>
  <si>
    <t>Korean retail premium over global spot</t>
  </si>
  <si>
    <t>AKA "kimchi premium" — Aurum captures portion</t>
  </si>
  <si>
    <t>AURUM GOLD PREMIUM — WHAT THE PREMIUM COVERS</t>
  </si>
  <si>
    <t>Cost Component</t>
  </si>
  <si>
    <t>Est. % of spot</t>
  </si>
  <si>
    <t>Description</t>
  </si>
  <si>
    <t>Wholesale spread (refiner COGS)</t>
  </si>
  <si>
    <t>What we pay LBMA refiner above spot</t>
  </si>
  <si>
    <t>Vault storage pass-through</t>
  </si>
  <si>
    <t>Malca-Amit annual storage cost</t>
  </si>
  <si>
    <t>Insurance &amp; logistics</t>
  </si>
  <si>
    <t>Lloyds coverage + CJ Logistics</t>
  </si>
  <si>
    <t>KYC / compliance overhead</t>
  </si>
  <si>
    <t>PASS verification + AML</t>
  </si>
  <si>
    <t>Platform operating margin</t>
  </si>
  <si>
    <t>Remainder = Aurum net margin</t>
  </si>
  <si>
    <t>Aurum Gold premium (from Pricing Levers)</t>
  </si>
  <si>
    <t>Pulled from Pricing Levers — single source of truth</t>
  </si>
  <si>
    <t>Check: component sum vs premium</t>
  </si>
  <si>
    <t>Should be 0 — if not, platform margin auto-adjusts</t>
  </si>
  <si>
    <t>GOLD PRICING WATERFALL — SPOT TO CUSTOMER PRICE</t>
  </si>
  <si>
    <t>Step</t>
  </si>
  <si>
    <t>Live spot price</t>
  </si>
  <si>
    <t>+ Wholesale spread (LBMA refiner cost)</t>
  </si>
  <si>
    <t>COGS — what we pay the refiner</t>
  </si>
  <si>
    <t>Aurum cost basis</t>
  </si>
  <si>
    <t>Our all-in cost per oz</t>
  </si>
  <si>
    <t>+ Aurum gold premium</t>
  </si>
  <si>
    <t>Premium from Pricing Levers (Gold)</t>
  </si>
  <si>
    <t>AURUM GOLD LIST PRICE</t>
  </si>
  <si>
    <t>What the customer pays per oz</t>
  </si>
  <si>
    <t>Customer reference price — what they pay in Korea</t>
  </si>
  <si>
    <t>Customer savings with Aurum</t>
  </si>
  <si>
    <t>How much less customer pays vs Korea</t>
  </si>
  <si>
    <t>Savings %</t>
  </si>
  <si>
    <t>vs Korean retail — key customer message</t>
  </si>
  <si>
    <t>CUSTOMER VALUE COMPARISON</t>
  </si>
  <si>
    <t>% vs Korean retail</t>
  </si>
  <si>
    <t>Aurum List Price</t>
  </si>
  <si>
    <t>Korean retail (incl VAT)</t>
  </si>
  <si>
    <t>Aurum Gold</t>
  </si>
  <si>
    <t>Customer savings vs Korea</t>
  </si>
  <si>
    <t>Korean Retail</t>
  </si>
  <si>
    <t>PER-TRANSACTION VIEW (sample sizes)</t>
  </si>
  <si>
    <t>Transaction Size</t>
  </si>
  <si>
    <t>oz at Aurum List</t>
  </si>
  <si>
    <t>Aurum Revenue</t>
  </si>
  <si>
    <t>Aurum COGS</t>
  </si>
  <si>
    <t>Gross Margin $</t>
  </si>
  <si>
    <t>Customer Savings vs Korea</t>
  </si>
  <si>
    <t>SENSITIVITY — AURUM PREMIUM VS MARGIN PER TRANSACTION</t>
  </si>
  <si>
    <t>Aurum Premium %</t>
  </si>
  <si>
    <t>List Price USD/oz</t>
  </si>
  <si>
    <t>Margin/oz</t>
  </si>
  <si>
    <t>Margin % per txn</t>
  </si>
  <si>
    <t>On $5K txn ($)</t>
  </si>
  <si>
    <t>On $25K txn ($)</t>
  </si>
  <si>
    <t>SILVER PRICING WATERFALL — KOREAN RETAIL vs AURUM</t>
  </si>
  <si>
    <t>Build-up of Aurum silver pricing vs Korean retail. Same structure as gold tab.</t>
  </si>
  <si>
    <r>
      <rPr>
        <i/>
        <sz val="9"/>
        <color rgb="FF6B6760"/>
        <rFont val="Calibri"/>
        <family val="2"/>
        <charset val="1"/>
      </rPr>
      <t>Type "oz" / "g" / "</t>
    </r>
    <r>
      <rPr>
        <i/>
        <sz val="9"/>
        <color rgb="FF6B6760"/>
        <rFont val="Noto Sans CJK SC"/>
        <family val="2"/>
      </rPr>
      <t>돈</t>
    </r>
    <r>
      <rPr>
        <i/>
        <sz val="9"/>
        <color rgb="FF6B6760"/>
        <rFont val="Calibri"/>
        <family val="2"/>
        <charset val="1"/>
      </rPr>
      <t>"</t>
    </r>
  </si>
  <si>
    <t>SPOT PRICES</t>
  </si>
  <si>
    <t>Global silver spot</t>
  </si>
  <si>
    <t>Live silver spot</t>
  </si>
  <si>
    <t>Korean silver retail (incl 10% VAT)</t>
  </si>
  <si>
    <t>Korean silver retail markup</t>
  </si>
  <si>
    <t>AURUM SILVER PREMIUM — WHAT THE PREMIUM COVERS</t>
  </si>
  <si>
    <t>Aurum Silver premium (from Pricing Levers)</t>
  </si>
  <si>
    <t>SILVER PRICING WATERFALL — SPOT TO CUSTOMER PRICE</t>
  </si>
  <si>
    <t>+ Aurum silver premium</t>
  </si>
  <si>
    <t>Premium from Pricing Levers (Silver)</t>
  </si>
  <si>
    <t>AURUM SILVER LIST PRICE</t>
  </si>
  <si>
    <t>Aurum Silver</t>
  </si>
  <si>
    <t>SENSITIVITY — AURUM SILVER PREMIUM VS MARGIN</t>
  </si>
  <si>
    <t>AURUM — START-UP REQUIREMENTS</t>
  </si>
  <si>
    <t>Cash needed to launch. Categorized by program. 6-month runway baseline. Marketing rows pull from campaign budgets dynamically.</t>
  </si>
  <si>
    <t>Item</t>
  </si>
  <si>
    <t>One-Time</t>
  </si>
  <si>
    <t>Monthly</t>
  </si>
  <si>
    <t>6-Mo Run</t>
  </si>
  <si>
    <t>Total Need</t>
  </si>
  <si>
    <t>A. LEGAL &amp; ENTITY SET-UP</t>
  </si>
  <si>
    <t>Singapore Pte Ltd incorporation</t>
  </si>
  <si>
    <t>ACRA registration, company secretary year 1</t>
  </si>
  <si>
    <t>Singapore corporate bank account</t>
  </si>
  <si>
    <t>OCBC or DBS — multi-currency</t>
  </si>
  <si>
    <t>Legal counsel (incorp, ToS, T&amp;C)</t>
  </si>
  <si>
    <t>Singapore + Korea cross-border review</t>
  </si>
  <si>
    <r>
      <rPr>
        <sz val="10"/>
        <color rgb="FF333333"/>
        <rFont val="Calibri"/>
        <family val="2"/>
        <charset val="1"/>
      </rPr>
      <t xml:space="preserve">Trademark registration (Aurum + </t>
    </r>
    <r>
      <rPr>
        <sz val="10"/>
        <color rgb="FF333333"/>
        <rFont val="Noto Sans CJK SC"/>
        <family val="2"/>
      </rPr>
      <t>한글</t>
    </r>
    <r>
      <rPr>
        <sz val="10"/>
        <color rgb="FF333333"/>
        <rFont val="Calibri"/>
        <family val="2"/>
        <charset val="1"/>
      </rPr>
      <t>)</t>
    </r>
  </si>
  <si>
    <t>WIPO Madrid + KIPO Korea direct</t>
  </si>
  <si>
    <t>Accounting set-up (Xero + advisor)</t>
  </si>
  <si>
    <t>Singapore tax + bookkeeping</t>
  </si>
  <si>
    <t xml:space="preserve">   Subtotal</t>
  </si>
  <si>
    <t>B. COMPLIANCE — PSPM (SG) + PIPA (KR)</t>
  </si>
  <si>
    <t>PSPM payment services license prep</t>
  </si>
  <si>
    <t>MAS application — required for stored value</t>
  </si>
  <si>
    <t>PIPA Korean privacy compliance</t>
  </si>
  <si>
    <t>Personal Information Protection Act</t>
  </si>
  <si>
    <t>AML/CFT framework documentation</t>
  </si>
  <si>
    <t>STR/CTR procedures, board policy</t>
  </si>
  <si>
    <t>External compliance advisor retainer</t>
  </si>
  <si>
    <t>PSPM + KR cross-border advisory</t>
  </si>
  <si>
    <t>Audit &amp; internal controls (Y1)</t>
  </si>
  <si>
    <t>Big 4 lite — Y1 baseline</t>
  </si>
  <si>
    <t>C. VAULT, REFINER &amp; KYC VENDOR ONBOARDING</t>
  </si>
  <si>
    <t>Malca-Amit Singapore FTZ vault deposit</t>
  </si>
  <si>
    <t>Refundable deposit + monthly minimum</t>
  </si>
  <si>
    <t>LBMA refiner relationship (Argor / PAMP)</t>
  </si>
  <si>
    <t>KYB + line of credit set-up</t>
  </si>
  <si>
    <t>Inventory float — gold (working stock)</t>
  </si>
  <si>
    <t>~50 oz gold @ vault, growth float</t>
  </si>
  <si>
    <t>Inventory float — silver (working stock)</t>
  </si>
  <si>
    <t>~300 oz silver @ vault</t>
  </si>
  <si>
    <t>KYC vendor (NICE/KCB) integration</t>
  </si>
  <si>
    <t>Korean PASS + RRN integration</t>
  </si>
  <si>
    <t>Insurance broker (in-transit + storage)</t>
  </si>
  <si>
    <t>Lloyds-syndicate-backed cover</t>
  </si>
  <si>
    <t>Korean inbound logistics partner</t>
  </si>
  <si>
    <t>CJ Logistics or Lotte cross-border</t>
  </si>
  <si>
    <t>D. TECH PLATFORM BUILD</t>
  </si>
  <si>
    <t>Website + commerce build (front-end)</t>
  </si>
  <si>
    <t>Vite React + headless commerce</t>
  </si>
  <si>
    <t>AGP backend (subscription + ledger)</t>
  </si>
  <si>
    <t>Recurring billing + AUC ledger</t>
  </si>
  <si>
    <t>KYC + vault API integration</t>
  </si>
  <si>
    <t>PASS + Malca-Amit + ledger sync</t>
  </si>
  <si>
    <t>Spot price feed (Au/Ag + FX)</t>
  </si>
  <si>
    <t>Gold-API + Bloomberg FX</t>
  </si>
  <si>
    <t>Hosting + infra (Vercel/Supabase/AWS)</t>
  </si>
  <si>
    <t>Multi-region, cold backup</t>
  </si>
  <si>
    <t>Security audit + pen-test (pre-launch)</t>
  </si>
  <si>
    <t>OWASP top-10 + PII flow review</t>
  </si>
  <si>
    <t>Korean localization &amp; translation</t>
  </si>
  <si>
    <t>Native Korean copy + maintenance</t>
  </si>
  <si>
    <t>E. MARKETING — 6-MONTH LAUNCH (linked to campaign tabs)</t>
  </si>
  <si>
    <t>Founders Plan launch (HNW dinners, video, PR)</t>
  </si>
  <si>
    <t>Direct relationship building — highest-value</t>
  </si>
  <si>
    <t>AGP Sign-up campaign — paid mktg + gifts</t>
  </si>
  <si>
    <t>Linked: Tab 11 paid mktg budget</t>
  </si>
  <si>
    <t>AGP acquisition (always-on paid)</t>
  </si>
  <si>
    <t>Linked: Tab 9 monthly AGP acquisition</t>
  </si>
  <si>
    <t>Brand always-on (creative, content, social)</t>
  </si>
  <si>
    <t>Linked: Pricing Levers personnel/brand row</t>
  </si>
  <si>
    <t>Korean PR agency (3-mo launch retainer)</t>
  </si>
  <si>
    <t>Tech press, finance verticals, lifestyle</t>
  </si>
  <si>
    <t>Korean creator partnerships (10 mid-size)</t>
  </si>
  <si>
    <t>재테크 YouTubers + IG personalities</t>
  </si>
  <si>
    <t xml:space="preserve">   Subtotal: Marketing Launch</t>
  </si>
  <si>
    <t>F. PERSONNEL — FOUNDING TEAM (6 mo runway)</t>
  </si>
  <si>
    <t>CEO / Founder (Thomas) — partial salary</t>
  </si>
  <si>
    <t>Below market — equity-weighted</t>
  </si>
  <si>
    <t>CFO / Co-founder #2 — partial salary</t>
  </si>
  <si>
    <t>Singapore-based, FX + treasury</t>
  </si>
  <si>
    <t>GC/Compliance Co-founder #3 — partial sal</t>
  </si>
  <si>
    <t>PSPM + PIPA execution</t>
  </si>
  <si>
    <t>Head of Engineering (contractor → FT)</t>
  </si>
  <si>
    <t>Korean-speaking pref</t>
  </si>
  <si>
    <t>Brand/Creative lead (contractor)</t>
  </si>
  <si>
    <t>Korean native; fractional Y1 OK</t>
  </si>
  <si>
    <t>Operations / customer success (FT)</t>
  </si>
  <si>
    <t>Korean native; Seoul or remote</t>
  </si>
  <si>
    <t>Payroll, EOR, benefits (Singapore)</t>
  </si>
  <si>
    <t>Deel or Remote.com</t>
  </si>
  <si>
    <t>G. WORKING CAPITAL BUFFER &amp; CONTINGENCY</t>
  </si>
  <si>
    <t>Inventory float top-up (months 4-6)</t>
  </si>
  <si>
    <t>As order volume grows, more on-hand stock</t>
  </si>
  <si>
    <t>Refund / return reserve</t>
  </si>
  <si>
    <t>30-day refund policy on first orders</t>
  </si>
  <si>
    <t>FX hedging margin (USD/KRW/SGD)</t>
  </si>
  <si>
    <t>Forward contracts to lock pricing</t>
  </si>
  <si>
    <t>Contingency (10% of A-F subtotals)</t>
  </si>
  <si>
    <t>Recommended buffer for unknowns</t>
  </si>
  <si>
    <t xml:space="preserve">   Subtotal: Working Capital</t>
  </si>
  <si>
    <t>TOTAL CASH NEED — 6-MONTH RUNWAY BASELINE</t>
  </si>
  <si>
    <t xml:space="preserve">   GRAND TOTAL — CASH REQUIRED TO LAUNCH</t>
  </si>
  <si>
    <t>RAISE STRUCTURE — RECOMMENDED</t>
  </si>
  <si>
    <t>Amount</t>
  </si>
  <si>
    <t>% of Raise</t>
  </si>
  <si>
    <t>Founders own contribution (cash + sweat)</t>
  </si>
  <si>
    <t>Skin in the game — typical 10-20%</t>
  </si>
  <si>
    <t>Convertible note / SAFE — friends &amp; family</t>
  </si>
  <si>
    <t>Bridge to seed; 6-12 mo conversion</t>
  </si>
  <si>
    <t>Seed round — institutional or HNW angels</t>
  </si>
  <si>
    <t>Priced round, 18-24 mo runway</t>
  </si>
  <si>
    <t xml:space="preserve">   Total raise target</t>
  </si>
  <si>
    <t>Equals grand total above</t>
  </si>
  <si>
    <t>CHART: CASH NEED BY CATEGORY</t>
  </si>
  <si>
    <t>Total $</t>
  </si>
  <si>
    <t>Legal &amp; Entity</t>
  </si>
  <si>
    <t>Compliance</t>
  </si>
  <si>
    <t>Vault &amp; Vendors</t>
  </si>
  <si>
    <t>Tech Platform</t>
  </si>
  <si>
    <t>Marketing Launch</t>
  </si>
  <si>
    <t>Personnel (6mo)</t>
  </si>
  <si>
    <t>Working Capital</t>
  </si>
  <si>
    <t>AURUM — EQUITY STRUCTURE &amp; CAP TABLE</t>
  </si>
  <si>
    <t>Pre/post money cap table. 3 founders + ESOP + investor + lender placeholders. Edit yellow cells to model dilution.</t>
  </si>
  <si>
    <t>1. VALUATION &amp; ROUND INPUTS (edit yellow)</t>
  </si>
  <si>
    <t>Total cash needed (from Tab 14)</t>
  </si>
  <si>
    <t>Pulled from Start-up Requirements grand total</t>
  </si>
  <si>
    <t>% raised from priced equity round</t>
  </si>
  <si>
    <t>Balance comes from founders + SAFE/note (Tab 14)</t>
  </si>
  <si>
    <t>Negotiated — 8M default for SG e-com early stage</t>
  </si>
  <si>
    <t>New investor ownership %</t>
  </si>
  <si>
    <t>ESOP pool (post-money)</t>
  </si>
  <si>
    <t>Standard 10% — comes out of pre-money</t>
  </si>
  <si>
    <t>Convertible note / SAFE amount (Tab 14)</t>
  </si>
  <si>
    <t>SAFE/note discount rate</t>
  </si>
  <si>
    <t>20% discount typical for friends &amp; family bridge</t>
  </si>
  <si>
    <t>SAFE/note valuation cap</t>
  </si>
  <si>
    <t>Conversion at lower of cap or discount</t>
  </si>
  <si>
    <t>SAFE conversion price (lower of cap/discount)</t>
  </si>
  <si>
    <t>2. PRE-MONEY CAP TABLE — FOUNDERS</t>
  </si>
  <si>
    <t>Holder</t>
  </si>
  <si>
    <t>Role</t>
  </si>
  <si>
    <t>Shares</t>
  </si>
  <si>
    <t>Pre-money %</t>
  </si>
  <si>
    <t>Vesting</t>
  </si>
  <si>
    <t>Cliff</t>
  </si>
  <si>
    <t>Thomas K. Jung</t>
  </si>
  <si>
    <t>CEO / Founder</t>
  </si>
  <si>
    <t>4 yr</t>
  </si>
  <si>
    <t>1 yr</t>
  </si>
  <si>
    <t>Equal partner — operator + CEO</t>
  </si>
  <si>
    <t>Jae Chung</t>
  </si>
  <si>
    <t>CFO / Treasury</t>
  </si>
  <si>
    <t>Equal partner — Singapore-based; FX + treasury</t>
  </si>
  <si>
    <t>Brian Lee</t>
  </si>
  <si>
    <t>GC / Compliance</t>
  </si>
  <si>
    <t>Equal partner — PSPM + PIPA execution</t>
  </si>
  <si>
    <t>ESOP Pool (unallocated)</t>
  </si>
  <si>
    <t>Reserve for hires</t>
  </si>
  <si>
    <t>Allocated to early hires</t>
  </si>
  <si>
    <t xml:space="preserve">   TOTAL PRE-MONEY</t>
  </si>
  <si>
    <t>3. POST-MONEY CAP TABLE (after equity round + SAFE conversion)</t>
  </si>
  <si>
    <t>Pre-Round %</t>
  </si>
  <si>
    <t>Dilution</t>
  </si>
  <si>
    <t>Post-Round %</t>
  </si>
  <si>
    <t>$ Value @ Post</t>
  </si>
  <si>
    <t>Founder</t>
  </si>
  <si>
    <t>Diluted by new equity + SAFE conversion</t>
  </si>
  <si>
    <t>ESOP Pool</t>
  </si>
  <si>
    <t>Reserve</t>
  </si>
  <si>
    <t>SAFE/Note holders (F&amp;F bridge)</t>
  </si>
  <si>
    <t>Convertible</t>
  </si>
  <si>
    <t>Converts at lower of cap or discount</t>
  </si>
  <si>
    <t>New Investors (Seed Round)</t>
  </si>
  <si>
    <t>Equity</t>
  </si>
  <si>
    <t>Investment: =7 cell</t>
  </si>
  <si>
    <t>Lender (debt — non-dilutive placeholder)</t>
  </si>
  <si>
    <t>Debt</t>
  </si>
  <si>
    <t>Inventory financing line — separate from cap table</t>
  </si>
  <si>
    <t xml:space="preserve">   TOTAL POST-MONEY</t>
  </si>
  <si>
    <t>Total ownership = 100%</t>
  </si>
  <si>
    <t>4. SCENARIO — SERIES A DILUTION PREVIEW (12-18 months out)</t>
  </si>
  <si>
    <t>Series A round size</t>
  </si>
  <si>
    <t>Typical Series A for SG fintech/e-com</t>
  </si>
  <si>
    <t>Series A pre-money valuation</t>
  </si>
  <si>
    <t>Assumes ~3x multiple on seed post-money</t>
  </si>
  <si>
    <t>Series A new ownership %</t>
  </si>
  <si>
    <t>Dilution to all existing holders</t>
  </si>
  <si>
    <t>Founder Thomas — fully diluted ownership after Series A</t>
  </si>
  <si>
    <t>$ value at Series A post-money</t>
  </si>
  <si>
    <t>All founders combined — fully diluted after Series A</t>
  </si>
  <si>
    <t>Founders should hold &gt;50% post-Series A for control</t>
  </si>
  <si>
    <t>5. POST-MONEY OWNERSHIP (chart)</t>
  </si>
  <si>
    <t>Post-Money %</t>
  </si>
  <si>
    <t>Co-Founder #2</t>
  </si>
  <si>
    <t>Co-Founder #3</t>
  </si>
  <si>
    <t>SAFE Holders</t>
  </si>
  <si>
    <t>New Investors</t>
  </si>
  <si>
    <t>AURUM — BALANCE SHEET (5-YEAR ANNUAL)</t>
  </si>
  <si>
    <t>P&amp;L driven. Initial outlay from Tab 14. Cash builds from EBITDA. Inventory grows with customer base. Equity from Tab 15.</t>
  </si>
  <si>
    <t>Initial</t>
  </si>
  <si>
    <t>ASSETS</t>
  </si>
  <si>
    <t>Cash &amp; equivalents</t>
  </si>
  <si>
    <t>Linked to Cash Flow tab ending cash balance</t>
  </si>
  <si>
    <t>Inventory — Working float (Aurum-owned)</t>
  </si>
  <si>
    <t>Aurum-owned working stock; not customer-allocated</t>
  </si>
  <si>
    <t>Inventory — Customer-allocated (custodial)</t>
  </si>
  <si>
    <t>Custodial — fully reserved at vault. Mirrors customer deposit liability</t>
  </si>
  <si>
    <t>Accounts receivable</t>
  </si>
  <si>
    <t>~2% of revenue — most payments instant</t>
  </si>
  <si>
    <t>Prepaid expenses &amp; deposits</t>
  </si>
  <si>
    <t>Vault deposit + KYC vendor + insurance escrow</t>
  </si>
  <si>
    <t>Tech platform (capitalized, net of amort)</t>
  </si>
  <si>
    <t>3-year straight-line amortization</t>
  </si>
  <si>
    <t xml:space="preserve">   TOTAL ASSETS</t>
  </si>
  <si>
    <t>Sum of all assets</t>
  </si>
  <si>
    <t>LIABILITIES</t>
  </si>
  <si>
    <t>Customer deposits — physical AUC</t>
  </si>
  <si>
    <t>Customer-owned physical metal — fully reserved at vault</t>
  </si>
  <si>
    <t>Accrued expenses</t>
  </si>
  <si>
    <t>~1 month indirect cost accrual</t>
  </si>
  <si>
    <t>SAFE / Convertible note (pre-conversion)</t>
  </si>
  <si>
    <t>Converts to equity by end of Y1</t>
  </si>
  <si>
    <t xml:space="preserve">   TOTAL LIABILITIES</t>
  </si>
  <si>
    <t>EQUITY</t>
  </si>
  <si>
    <t>Paid-in capital — Founders</t>
  </si>
  <si>
    <t>Founder cash contribution</t>
  </si>
  <si>
    <t>Paid-in capital — Investors (Seed)</t>
  </si>
  <si>
    <t>Seed round proceeds</t>
  </si>
  <si>
    <t>Paid-in capital — SAFE conversion (Y1)</t>
  </si>
  <si>
    <t>Note converts to equity in Y1</t>
  </si>
  <si>
    <t>Retained earnings (cumulative EBITDA)</t>
  </si>
  <si>
    <t>Cumulative EBITDA from 5Y forecast</t>
  </si>
  <si>
    <t xml:space="preserve">   TOTAL EQUITY</t>
  </si>
  <si>
    <t xml:space="preserve">   TOTAL LIABILITIES + EQUITY</t>
  </si>
  <si>
    <t>Should reconcile to Total Assets</t>
  </si>
  <si>
    <t>Check: Assets - (L+E)</t>
  </si>
  <si>
    <t>Should be ~0; small differences from inventory growth assumption</t>
  </si>
  <si>
    <t>KEY BALANCE SHEET RATIOS</t>
  </si>
  <si>
    <t>Cash runway (months at Y1 burn)</t>
  </si>
  <si>
    <t>Months of runway at current burn rate</t>
  </si>
  <si>
    <t>Equity ratio (Equity / Total Assets)</t>
  </si>
  <si>
    <t>Higher = stronger balance sheet</t>
  </si>
  <si>
    <t>Inventory turnover (Revenue / Avg Inv)</t>
  </si>
  <si>
    <t>How fast inventory turns into revenue</t>
  </si>
  <si>
    <t>CHART: ASSETS / LIABILITIES / EQUITY OVER TIME</t>
  </si>
  <si>
    <t>Year</t>
  </si>
  <si>
    <t>Total Assets</t>
  </si>
  <si>
    <t>Total Liabilities</t>
  </si>
  <si>
    <t>Total Equity</t>
  </si>
  <si>
    <t>AURUM — CASH FLOW STATEMENT (5-YEAR ANNUAL)</t>
  </si>
  <si>
    <t>Operating + Investing + Financing. Pre-launch initial outlay shown separately. Negative cash signals raise need.</t>
  </si>
  <si>
    <t>BEGINNING CASH</t>
  </si>
  <si>
    <t>Beginning cash balance</t>
  </si>
  <si>
    <t>Each year begins where prior year ended</t>
  </si>
  <si>
    <t>OPERATING ACTIVITIES</t>
  </si>
  <si>
    <t>EBITDA (from 5Y P&amp;L)</t>
  </si>
  <si>
    <t>Net Contribution from 5Y forecast</t>
  </si>
  <si>
    <t>+ Depreciation &amp; amortization addback</t>
  </si>
  <si>
    <t>Tech platform 3-year straight-line amort</t>
  </si>
  <si>
    <t>- Increase in working inventory (Aurum-owned)</t>
  </si>
  <si>
    <t>Only working float — customer-allocated metal is custodial</t>
  </si>
  <si>
    <t>+ Increase in customer deposits (custodial — offsets)</t>
  </si>
  <si>
    <t>Custodial flows offset between BS asset (inventory) + liability (deposit)</t>
  </si>
  <si>
    <t>- Increase in receivables / WC items</t>
  </si>
  <si>
    <t>AR ~2% of incremental revenue</t>
  </si>
  <si>
    <t xml:space="preserve">   Net cash from operating activities</t>
  </si>
  <si>
    <t>INVESTING ACTIVITIES</t>
  </si>
  <si>
    <t>- Tech platform build (capitalized)</t>
  </si>
  <si>
    <t>Initial build + ongoing capitalized improvements</t>
  </si>
  <si>
    <t>- Vault &amp; vendor deposits</t>
  </si>
  <si>
    <t>One-time vault deposit + KYC + insurance setup</t>
  </si>
  <si>
    <t>- Initial inventory float (Au + Ag)</t>
  </si>
  <si>
    <t>Initial gold + silver working float</t>
  </si>
  <si>
    <t xml:space="preserve">   Net cash from investing activities</t>
  </si>
  <si>
    <t>FINANCING ACTIVITIES</t>
  </si>
  <si>
    <t>+ Founders contribution</t>
  </si>
  <si>
    <t>Founder cash at incorporation</t>
  </si>
  <si>
    <t>+ SAFE/Note proceeds (F&amp;F bridge)</t>
  </si>
  <si>
    <t>Bridge financing — converts in Y1</t>
  </si>
  <si>
    <t>+ Seed equity round proceeds</t>
  </si>
  <si>
    <t>Priced equity round at incorporation</t>
  </si>
  <si>
    <t>+ Series A (modeled in Y2)</t>
  </si>
  <si>
    <t>Series A injection — see Tab 15 scenario</t>
  </si>
  <si>
    <t xml:space="preserve">   Net cash from financing activities</t>
  </si>
  <si>
    <t>ENDING CASH</t>
  </si>
  <si>
    <t>Net change in cash</t>
  </si>
  <si>
    <t>ENDING CASH BALANCE</t>
  </si>
  <si>
    <t>KEY CASH FLOW METRICS</t>
  </si>
  <si>
    <t>Free cash flow (Op CF + Investing)</t>
  </si>
  <si>
    <t>Cash generated for shareholders/reinvestment</t>
  </si>
  <si>
    <t>FCF margin</t>
  </si>
  <si>
    <t>FCF as % of revenue — investor focus metric</t>
  </si>
  <si>
    <t>Cash zero crossing (cumulative)</t>
  </si>
  <si>
    <t>When does cash go positive on cumulative basis</t>
  </si>
  <si>
    <t>CHART: CASH BALANCE &amp; FREE CASH FLOW</t>
  </si>
  <si>
    <t>Ending Cash</t>
  </si>
  <si>
    <t>Free Cash Flow</t>
  </si>
  <si>
    <t>FOUNDERS PROGRAM (PHYSICAL) — INPUTS</t>
  </si>
  <si>
    <t>Founder Savings referral program for physical bullion. All in USD.</t>
  </si>
  <si>
    <t>VOLUME INPUTS — CUSTOMER BASE</t>
  </si>
  <si>
    <t>M6 customer base (target physical customers)</t>
  </si>
  <si>
    <t>Per launch strategy v2</t>
  </si>
  <si>
    <t>Avg young stacker ARR (USD)</t>
  </si>
  <si>
    <t>~₩200K-300K/month annualized</t>
  </si>
  <si>
    <t>Avg HNW patron ARR (USD)</t>
  </si>
  <si>
    <t>Founding 500 / Patron tier</t>
  </si>
  <si>
    <t>% of customers who refer at all</t>
  </si>
  <si>
    <t>Industry typical fintech</t>
  </si>
  <si>
    <t>→ Total active physical customers</t>
  </si>
  <si>
    <t>GATE STRUCTURE — 5 GATES (GMV-attributed thresholds)</t>
  </si>
  <si>
    <t>Gate</t>
  </si>
  <si>
    <t>KR Name</t>
  </si>
  <si>
    <t>GMV Threshold ($)</t>
  </si>
  <si>
    <t>Founder Savings %</t>
  </si>
  <si>
    <t>Reach % of base</t>
  </si>
  <si>
    <t>시작의 문</t>
  </si>
  <si>
    <t>Entry — ~2-3 referrals</t>
  </si>
  <si>
    <t>셋의 표식</t>
  </si>
  <si>
    <t>5-7 referrals · stainless mark</t>
  </si>
  <si>
    <t>정점</t>
  </si>
  <si>
    <t>12-15 refs · 10K SOLID GOLD MARK · Patron status</t>
  </si>
  <si>
    <t>볼트 순례</t>
  </si>
  <si>
    <t>25+ refs · Singapore Vault Weekend</t>
  </si>
  <si>
    <t>평생의 표식</t>
  </si>
  <si>
    <t>40+ refs OR HNW · LIFETIME (rare; ECONOMIC APEX)</t>
  </si>
  <si>
    <t>AVG REFERRER OWN ARR BY GATE (USD)</t>
  </si>
  <si>
    <t>Own ARR Assumption</t>
  </si>
  <si>
    <t>Logic</t>
  </si>
  <si>
    <t>Lightly active referrer ≈ avg young stacker</t>
  </si>
  <si>
    <t>Slightly elevated — engaged sharer</t>
  </si>
  <si>
    <t>Power user / micro-influencer</t>
  </si>
  <si>
    <t>HNW connector or big stacker</t>
  </si>
  <si>
    <t>True evangelist — likely HNW themselves</t>
  </si>
  <si>
    <t>FOUNDERS — PER-PATRON UNIT ECONOMICS</t>
  </si>
  <si>
    <t>For ONE Patron at each gate: cost vs gain. All USD.</t>
  </si>
  <si>
    <t>Founder Savings</t>
  </si>
  <si>
    <t>Patron Own ARR</t>
  </si>
  <si>
    <t>Their Listed Price</t>
  </si>
  <si>
    <t>Annual Cost to Aurum</t>
  </si>
  <si>
    <t>Their Referred GMV</t>
  </si>
  <si>
    <t>Aurum Margin From Refs</t>
  </si>
  <si>
    <t>Net Aurum Value</t>
  </si>
  <si>
    <t>FOUNDERS — AGGREGATE ECONOMICS</t>
  </si>
  <si>
    <t>Per-Patron numbers × Patrons reaching each gate. Annualized.</t>
  </si>
  <si>
    <t>Reach %</t>
  </si>
  <si>
    <t>Patrons</t>
  </si>
  <si>
    <t>Annual Cost / Patron</t>
  </si>
  <si>
    <t>Total Annual Cost</t>
  </si>
  <si>
    <t>Inbound Margin / Patron</t>
  </si>
  <si>
    <t>Total Inbound Margin</t>
  </si>
  <si>
    <t>Net Program Value</t>
  </si>
  <si>
    <t>TOTAL</t>
  </si>
  <si>
    <t>FOUNDERS — SENSITIVITY</t>
  </si>
  <si>
    <t>SCENARIO 1 — REACH MULTIPLIER (premium held at base)</t>
  </si>
  <si>
    <t>Scenario</t>
  </si>
  <si>
    <t>Reach Mult</t>
  </si>
  <si>
    <t>Cost</t>
  </si>
  <si>
    <t>Margin</t>
  </si>
  <si>
    <t>Net</t>
  </si>
  <si>
    <t>ROI</t>
  </si>
  <si>
    <t>Bearish</t>
  </si>
  <si>
    <t>Base case</t>
  </si>
  <si>
    <t>Bullish</t>
  </si>
  <si>
    <t>Viral</t>
  </si>
  <si>
    <t>Saturation</t>
  </si>
  <si>
    <t>AURUM GOLD PLAN (AGP) — INPUTS</t>
  </si>
  <si>
    <t>Standalone savings program. 12-month auto-debit commitment. AGP customer base = funnel-driven + sign-up campaign-driven.</t>
  </si>
  <si>
    <t>AGP TIERS — MONTHLY CONTRIBUTION</t>
  </si>
  <si>
    <t>Tier</t>
  </si>
  <si>
    <t>Tier Name</t>
  </si>
  <si>
    <t>Monthly USD</t>
  </si>
  <si>
    <t>Annual USD</t>
  </si>
  <si>
    <t>Mix % of base</t>
  </si>
  <si>
    <t>Bronze</t>
  </si>
  <si>
    <t>브론즈</t>
  </si>
  <si>
    <t>Entry · ~₩200K/mo</t>
  </si>
  <si>
    <t>Silver</t>
  </si>
  <si>
    <t>실버</t>
  </si>
  <si>
    <t>Standard · ~₩500K/mo</t>
  </si>
  <si>
    <t>Gold</t>
  </si>
  <si>
    <t>골드</t>
  </si>
  <si>
    <t>Serious accumulator · ~₩1M/mo</t>
  </si>
  <si>
    <t>Platinum</t>
  </si>
  <si>
    <t>플래티넘</t>
  </si>
  <si>
    <t>HNW recurring · ~₩2.5M/mo</t>
  </si>
  <si>
    <t>Sovereign</t>
  </si>
  <si>
    <t>소브린</t>
  </si>
  <si>
    <t>Top-tier · ~₩5M/mo</t>
  </si>
  <si>
    <t>Weighted avg monthly per AGP customer</t>
  </si>
  <si>
    <t>ORGANIC AGP FUNNEL — VOLUME INPUTS</t>
  </si>
  <si>
    <t>Base</t>
  </si>
  <si>
    <t>Low</t>
  </si>
  <si>
    <t>High</t>
  </si>
  <si>
    <t>Unit</t>
  </si>
  <si>
    <t>Marketing impressions per month</t>
  </si>
  <si>
    <t>count</t>
  </si>
  <si>
    <t>Combined paid + organic + KakaoTalk</t>
  </si>
  <si>
    <t>Click-through rate</t>
  </si>
  <si>
    <t>%</t>
  </si>
  <si>
    <t>Korean fintech avg</t>
  </si>
  <si>
    <t>Sign-up conversion (clicks → signups)</t>
  </si>
  <si>
    <t>CTR-to-signup</t>
  </si>
  <si>
    <t>Activation rate (signup → 1st AGP debit)</t>
  </si>
  <si>
    <t>Biggest funnel leak</t>
  </si>
  <si>
    <t>AGP completion rate (12-month full term)</t>
  </si>
  <si>
    <t>Auto-debit boosts retention</t>
  </si>
  <si>
    <t>CHURN &amp; RETENTION ASSUMPTIONS</t>
  </si>
  <si>
    <t>Monthly AGP churn rate (mid-program)</t>
  </si>
  <si>
    <t>Auto-debit stickiness</t>
  </si>
  <si>
    <t>Annual AGP retention rate</t>
  </si>
  <si>
    <t>Year 2+ AGP retention rate</t>
  </si>
  <si>
    <t>After 12-mo term completes</t>
  </si>
  <si>
    <t>AGP MARKETING COST INPUTS</t>
  </si>
  <si>
    <t>Monthly marketing budget for organic AGP acquisition</t>
  </si>
  <si>
    <t>Direct AGP funnel</t>
  </si>
  <si>
    <t>Average CAC per AGP customer (target)</t>
  </si>
  <si>
    <t>Referral-led keeps low</t>
  </si>
  <si>
    <t>AGP — FUNNEL &amp; TIER GMV (organic + sign-up campaign)</t>
  </si>
  <si>
    <t>AGP customer base = Organic funnel + Sign-up campaign activations. Both flow into tier math.</t>
  </si>
  <si>
    <t>SOURCE 1 — ORGANIC FUNNEL (annualized)</t>
  </si>
  <si>
    <t>Stage</t>
  </si>
  <si>
    <t>Annual</t>
  </si>
  <si>
    <t>Conversion %</t>
  </si>
  <si>
    <t>Impressions</t>
  </si>
  <si>
    <t>Clicks</t>
  </si>
  <si>
    <t>Sign-ups</t>
  </si>
  <si>
    <t>Activated (1st debit)</t>
  </si>
  <si>
    <t>12-mo completers</t>
  </si>
  <si>
    <t>SOURCE 2 — SIGN-UP CAMPAIGN (one-time boost)</t>
  </si>
  <si>
    <t>Sign-up campaign AGP-activated customers</t>
  </si>
  <si>
    <t>From sign-up campaign activation</t>
  </si>
  <si>
    <t>COMBINED ACTIVE AGP CUSTOMER BASE</t>
  </si>
  <si>
    <t>Active AGP customers (Organic + Sign-up)</t>
  </si>
  <si>
    <t>AGP GMV BY TIER (annual, USD)</t>
  </si>
  <si>
    <t>Mix %</t>
  </si>
  <si>
    <t>Active customers</t>
  </si>
  <si>
    <t>Monthly contribution</t>
  </si>
  <si>
    <t>Annual GMV/customer</t>
  </si>
  <si>
    <t>Total annual GMV</t>
  </si>
  <si>
    <t>Aurum margin</t>
  </si>
  <si>
    <t>Storage rev</t>
  </si>
  <si>
    <t>AGP SIGN-UP CAMPAIGN — INPUTS</t>
  </si>
  <si>
    <t>Founding Gift drives 12-month AGP enrollment. Activations roll into AGP Math Tab as a one-time boost.</t>
  </si>
  <si>
    <t>AGP SIGN-UP GIFT TIERS</t>
  </si>
  <si>
    <t>AGP commitment</t>
  </si>
  <si>
    <t>Gift value (USD)</t>
  </si>
  <si>
    <t>Mix % of signups</t>
  </si>
  <si>
    <t>Term (mo)</t>
  </si>
  <si>
    <t>Trial</t>
  </si>
  <si>
    <t>30-day AGP at $50/mo</t>
  </si>
  <si>
    <t>Test the product · low commit</t>
  </si>
  <si>
    <t>Founding</t>
  </si>
  <si>
    <t>12-mo AGP at $140/mo (Bronze)</t>
  </si>
  <si>
    <t>Standard founding · ₩200K/mo</t>
  </si>
  <si>
    <t>Founding+</t>
  </si>
  <si>
    <t>12-mo AGP at $350/mo (Silver)</t>
  </si>
  <si>
    <t>Mid-tier · ₩500K/mo</t>
  </si>
  <si>
    <t>Patron</t>
  </si>
  <si>
    <t>12-mo AGP at $700/mo (Gold)</t>
  </si>
  <si>
    <t>₩1M/mo · concierge</t>
  </si>
  <si>
    <t>12-mo AGP at $1,700/mo (Plat)</t>
  </si>
  <si>
    <t>₩2.5M/mo · 1-of-500 · 10K gold card</t>
  </si>
  <si>
    <t>Mix sum:</t>
  </si>
  <si>
    <t>Weighted avg gift cost per signup</t>
  </si>
  <si>
    <t>CAMPAIGN VOLUME &amp; CONVERSION (controls Sign-up → AGP linkage)</t>
  </si>
  <si>
    <t>Total AGP signup target — 6-month campaign</t>
  </si>
  <si>
    <t>M1-M6 cohort</t>
  </si>
  <si>
    <t>% Signups → AGP activation (1st debit)</t>
  </si>
  <si>
    <t>KEY LINK: drives AGP customer count on Tab 10</t>
  </si>
  <si>
    <t>% Signups → complete 12-mo term</t>
  </si>
  <si>
    <t>Sticky once auto-debit running</t>
  </si>
  <si>
    <t>Marketing spend — 6-mo campaign (USD)</t>
  </si>
  <si>
    <t>USD</t>
  </si>
  <si>
    <t>Founding push budget</t>
  </si>
  <si>
    <t>All-in CAC target per signup (USD)</t>
  </si>
  <si>
    <t>Marketing + gift / signups</t>
  </si>
  <si>
    <t>AGP SIGN-UP CAMPAIGN — TIER GMV &amp; FUNNEL</t>
  </si>
  <si>
    <t>Per-tier AGP signups → activation → AGP customer count (feeds into AGP Math Tab 10).</t>
  </si>
  <si>
    <t>PER-TIER AGP SIGNUPS (6-MONTH CAMPAIGN)</t>
  </si>
  <si>
    <t>Gift cost/signup</t>
  </si>
  <si>
    <t>Total gift cost</t>
  </si>
  <si>
    <t>AGP GMV/customer (12mo)</t>
  </si>
  <si>
    <t>Total AGP GMV</t>
  </si>
  <si>
    <t>LINKAGE TO AGP MATH (Tab 10)</t>
  </si>
  <si>
    <t>Total AGP signups generated</t>
  </si>
  <si>
    <t>× Activation rate</t>
  </si>
  <si>
    <t xml:space="preserve">Total AGP </t>
  </si>
  <si>
    <t>CAMPAIGN NET CONTRIBUTION</t>
  </si>
  <si>
    <t>Total AGP sign-ups generated</t>
  </si>
  <si>
    <t>Total attributed AGP GMV (12-mo)</t>
  </si>
  <si>
    <t>Aurum margin from AGP GMV</t>
  </si>
  <si>
    <t>Marketing spend (6-mo)</t>
  </si>
  <si>
    <t>All-in CAC per AGP signup</t>
  </si>
  <si>
    <t>CAMPAIGN NET VALUE</t>
  </si>
  <si>
    <t>ROI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</si>
</sst>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\$#,##0;&quot;($&quot;#,##0\)"/>
    <numFmt numFmtId="165" formatCode="0.0%"/>
    <numFmt numFmtId="166" formatCode="\$#,##0"/>
    <numFmt numFmtId="167" formatCode="0.00\x"/>
    <numFmt numFmtId="168" formatCode="0.0"/>
    <numFmt numFmtId="169" formatCode="0.0\x"/>
    <numFmt numFmtId="170" formatCode="0.0&quot; mo&quot;"/>
    <numFmt numFmtId="171" formatCode="0.0000"/>
    <numFmt numFmtId="172" formatCode="\₩#,##0"/>
    <numFmt numFmtId="173" formatCode="\$#,##0.00"/>
    <numFmt numFmtId="174" formatCode="\$#,##0.00;&quot;($&quot;#,##0.00\);\-"/>
    <numFmt numFmtId="175" formatCode="0.0%;\(0.0%\);\-"/>
    <numFmt numFmtId="176" formatCode="0.000"/>
    <numFmt numFmtId="177" formatCode="#,##0.0000"/>
    <numFmt numFmtId="178" formatCode="\$#,##0;[Red]&quot;($&quot;#,##0\)"/>
    <numFmt numFmtId="179" formatCode="0.000%"/>
    <numFmt numFmtId="180" formatCode="#,##0&quot; mo&quot;"/>
  </numFmts>
  <fonts count="54">
    <font>
      <sz val="11"/>
      <color theme="1"/>
      <name val="Calibri"/>
      <family val="2"/>
      <charset val="1"/>
    </font>
    <font>
      <b/>
      <sz val="15"/>
      <color rgb="FFC5A572"/>
      <name val="Calibri"/>
      <family val="2"/>
      <charset val="1"/>
    </font>
    <font>
      <sz val="11"/>
      <name val="Cambria"/>
      <family val="1"/>
    </font>
    <font>
      <b/>
      <u/>
      <sz val="10"/>
      <color rgb="FF0A0A0A"/>
      <name val="Arial"/>
      <family val="2"/>
    </font>
    <font>
      <i/>
      <sz val="10"/>
      <color rgb="FF6B6760"/>
      <name val="Calibri"/>
      <family val="2"/>
      <charset val="1"/>
    </font>
    <font>
      <b/>
      <sz val="10"/>
      <color rgb="FFC5A572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0A0A0A"/>
      <name val="Calibri"/>
      <family val="2"/>
      <charset val="1"/>
    </font>
    <font>
      <sz val="10"/>
      <color rgb="FF0A0A0A"/>
      <name val="Calibri"/>
      <family val="2"/>
      <charset val="1"/>
    </font>
    <font>
      <sz val="10"/>
      <color rgb="FF047857"/>
      <name val="Calibri"/>
      <family val="2"/>
      <charset val="1"/>
    </font>
    <font>
      <b/>
      <sz val="11"/>
      <color rgb="FF0A0A0A"/>
      <name val="Calibri"/>
      <family val="2"/>
      <charset val="1"/>
    </font>
    <font>
      <b/>
      <sz val="12"/>
      <color rgb="FFC5A572"/>
      <name val="Calibri"/>
      <family val="2"/>
      <charset val="1"/>
    </font>
    <font>
      <b/>
      <sz val="11"/>
      <color rgb="FFB91C1C"/>
      <name val="Calibri"/>
      <family val="2"/>
      <charset val="1"/>
    </font>
    <font>
      <i/>
      <sz val="9"/>
      <color rgb="FF6B6760"/>
      <name val="Calibri"/>
      <family val="2"/>
      <charset val="1"/>
    </font>
    <font>
      <b/>
      <sz val="11"/>
      <color rgb="FF047857"/>
      <name val="Calibri"/>
      <family val="2"/>
      <charset val="1"/>
    </font>
    <font>
      <i/>
      <sz val="10"/>
      <color rgb="FF333333"/>
      <name val="Calibri"/>
      <family val="2"/>
      <charset val="1"/>
    </font>
    <font>
      <sz val="11"/>
      <name val="Cambria"/>
      <family val="1"/>
      <charset val="1"/>
    </font>
    <font>
      <b/>
      <sz val="12"/>
      <color rgb="FF0A0A0A"/>
      <name val="Calibri"/>
      <family val="2"/>
      <charset val="1"/>
    </font>
    <font>
      <b/>
      <sz val="9"/>
      <color rgb="FF333333"/>
      <name val="Calibri"/>
      <family val="2"/>
      <charset val="1"/>
    </font>
    <font>
      <b/>
      <sz val="14"/>
      <color rgb="FF0A0A0A"/>
      <name val="Calibri"/>
      <family val="2"/>
      <charset val="1"/>
    </font>
    <font>
      <sz val="10"/>
      <color rgb="FF333333"/>
      <name val="Calibri"/>
      <family val="2"/>
      <charset val="1"/>
    </font>
    <font>
      <i/>
      <sz val="9"/>
      <color rgb="FF333333"/>
      <name val="Calibri"/>
      <family val="2"/>
      <charset val="1"/>
    </font>
    <font>
      <b/>
      <sz val="11"/>
      <color rgb="FFC5A572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0"/>
      <color rgb="FF333333"/>
      <name val="Calibri"/>
      <family val="2"/>
      <charset val="1"/>
    </font>
    <font>
      <b/>
      <sz val="9"/>
      <color rgb="FFFFFFFF"/>
      <name val="Calibri"/>
      <family val="2"/>
      <charset val="1"/>
    </font>
    <font>
      <i/>
      <sz val="11"/>
      <color rgb="FF0A0A0A"/>
      <name val="Calibri"/>
      <family val="2"/>
      <charset val="1"/>
    </font>
    <font>
      <b/>
      <sz val="10"/>
      <color rgb="FF0000FF"/>
      <name val="Calibri"/>
      <family val="2"/>
      <charset val="1"/>
    </font>
    <font>
      <i/>
      <sz val="9"/>
      <color rgb="FF6B6760"/>
      <name val="Noto Sans CJK SC"/>
      <family val="2"/>
    </font>
    <font>
      <b/>
      <sz val="10"/>
      <color rgb="FFB91C1C"/>
      <name val="Calibri"/>
      <family val="2"/>
      <charset val="1"/>
    </font>
    <font>
      <b/>
      <sz val="11"/>
      <color rgb="FF0A0A0A"/>
      <name val="Arial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sz val="10"/>
      <color rgb="FF0000FF"/>
      <name val="Arial"/>
      <family val="2"/>
    </font>
    <font>
      <sz val="10"/>
      <color rgb="FF0A0A0A"/>
      <name val="Arial"/>
      <family val="2"/>
    </font>
    <font>
      <i/>
      <sz val="9"/>
      <color rgb="FF333333"/>
      <name val="Arial"/>
      <family val="2"/>
    </font>
    <font>
      <b/>
      <sz val="10"/>
      <color rgb="FF0A0A0A"/>
      <name val="Arial"/>
      <family val="2"/>
    </font>
    <font>
      <b/>
      <sz val="10"/>
      <color rgb="FF2E7D32"/>
      <name val="Arial"/>
      <family val="2"/>
    </font>
    <font>
      <b/>
      <sz val="11"/>
      <color rgb="FFFFFFFF"/>
      <name val="Arial"/>
      <family val="2"/>
    </font>
    <font>
      <b/>
      <sz val="11"/>
      <color rgb="FF2E7D3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47857"/>
      <name val="Calibri"/>
      <family val="2"/>
      <charset val="1"/>
    </font>
    <font>
      <sz val="10"/>
      <color rgb="FF333333"/>
      <name val="Noto Sans CJK SC"/>
      <family val="2"/>
    </font>
    <font>
      <b/>
      <sz val="10"/>
      <color rgb="FF0A0A0A"/>
      <name val="Cambria"/>
      <family val="1"/>
      <charset val="1"/>
    </font>
    <font>
      <i/>
      <sz val="9"/>
      <color rgb="FF333333"/>
      <name val="Noto Sans CJK SC"/>
      <family val="2"/>
      <charset val="1"/>
    </font>
    <font>
      <b/>
      <sz val="12"/>
      <color rgb="FFFFFFFF"/>
      <name val="Cambria"/>
      <family val="1"/>
      <charset val="1"/>
    </font>
    <font>
      <b/>
      <sz val="11"/>
      <color rgb="FFFFFFFF"/>
      <name val="Cambria"/>
      <family val="1"/>
      <charset val="1"/>
    </font>
    <font>
      <b/>
      <i/>
      <sz val="9"/>
      <color rgb="FFFFFFFF"/>
      <name val="Cambria"/>
      <family val="1"/>
      <charset val="1"/>
    </font>
    <font>
      <sz val="11"/>
      <color rgb="FFFFFFFF"/>
      <name val="Cambria"/>
      <family val="1"/>
      <charset val="1"/>
    </font>
    <font>
      <sz val="11"/>
      <color theme="1"/>
      <name val="Noto Sans CJK SC"/>
      <family val="2"/>
      <charset val="1"/>
    </font>
    <font>
      <sz val="10"/>
      <name val="Calibri"/>
      <family val="2"/>
      <charset val="1"/>
    </font>
    <font>
      <b/>
      <sz val="10"/>
      <name val="Calibri"/>
      <family val="2"/>
      <charset val="1"/>
    </font>
    <font>
      <sz val="10"/>
      <color rgb="FF0A0A0A"/>
      <name val="Noto Sans CJK SC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C5A572"/>
        <bgColor rgb="FFB3B3B3"/>
      </patternFill>
    </fill>
    <fill>
      <patternFill patternType="solid">
        <fgColor rgb="FF1A1814"/>
        <bgColor rgb="FF0A0A0A"/>
      </patternFill>
    </fill>
    <fill>
      <patternFill patternType="solid">
        <fgColor rgb="FF0A0A0A"/>
        <bgColor rgb="FF000000"/>
      </patternFill>
    </fill>
    <fill>
      <patternFill patternType="solid">
        <fgColor rgb="FFFEF5E7"/>
        <bgColor rgb="FFF8F4EC"/>
      </patternFill>
    </fill>
    <fill>
      <patternFill patternType="solid">
        <fgColor rgb="FFF0E8D8"/>
        <bgColor rgb="FFF5EFE0"/>
      </patternFill>
    </fill>
    <fill>
      <patternFill patternType="solid">
        <fgColor rgb="FFF8F4EC"/>
        <bgColor rgb="FFF5F0E8"/>
      </patternFill>
    </fill>
    <fill>
      <patternFill patternType="solid">
        <fgColor rgb="FFFFEEEE"/>
        <bgColor rgb="FFFEF5E7"/>
      </patternFill>
    </fill>
    <fill>
      <patternFill patternType="solid">
        <fgColor rgb="FFE0F4E8"/>
        <bgColor rgb="FFF0F0F0"/>
      </patternFill>
    </fill>
    <fill>
      <patternFill patternType="solid">
        <fgColor rgb="FFF0F0F0"/>
        <bgColor rgb="FFF5F0E8"/>
      </patternFill>
    </fill>
    <fill>
      <patternFill patternType="solid">
        <fgColor rgb="FFF5EFE0"/>
        <bgColor rgb="FFF5F0E8"/>
      </patternFill>
    </fill>
    <fill>
      <patternFill patternType="solid">
        <fgColor rgb="FFB22222"/>
        <bgColor rgb="FFB91C1C"/>
      </patternFill>
    </fill>
    <fill>
      <patternFill patternType="solid">
        <fgColor rgb="FF333333"/>
        <bgColor rgb="FF1A1814"/>
      </patternFill>
    </fill>
    <fill>
      <patternFill patternType="solid">
        <fgColor rgb="FFFFFFCC"/>
        <bgColor rgb="FFFEF5E7"/>
      </patternFill>
    </fill>
    <fill>
      <patternFill patternType="solid">
        <fgColor rgb="FFF5F0E8"/>
        <bgColor rgb="FFF5EFE0"/>
      </patternFill>
    </fill>
    <fill>
      <patternFill patternType="solid">
        <fgColor rgb="FFFFE4B5"/>
        <bgColor rgb="FFF0E8D8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rgb="FFC5A572"/>
      </left>
      <right style="medium">
        <color rgb="FFC5A572"/>
      </right>
      <top style="medium">
        <color rgb="FFC5A572"/>
      </top>
      <bottom style="medium">
        <color rgb="FFC5A572"/>
      </bottom>
      <diagonal/>
    </border>
    <border>
      <left style="thin">
        <color rgb="FFC5A572"/>
      </left>
      <right style="thin">
        <color rgb="FFC5A572"/>
      </right>
      <top style="thin">
        <color rgb="FFC5A572"/>
      </top>
      <bottom style="thin">
        <color rgb="FFC5A572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C5A572"/>
      </top>
      <bottom/>
      <diagonal/>
    </border>
  </borders>
  <cellStyleXfs count="1">
    <xf numFmtId="0" fontId="0" fillId="0" borderId="0"/>
  </cellStyleXfs>
  <cellXfs count="220">
    <xf numFmtId="0" fontId="0" fillId="0" borderId="0" xfId="0"/>
    <xf numFmtId="0" fontId="8" fillId="0" borderId="2" xfId="0" applyFont="1" applyBorder="1"/>
    <xf numFmtId="0" fontId="13" fillId="0" borderId="2" xfId="0" applyFont="1" applyBorder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right"/>
    </xf>
    <xf numFmtId="164" fontId="8" fillId="0" borderId="2" xfId="0" applyNumberFormat="1" applyFont="1" applyBorder="1" applyAlignment="1">
      <alignment horizontal="right"/>
    </xf>
    <xf numFmtId="165" fontId="8" fillId="0" borderId="2" xfId="0" applyNumberFormat="1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164" fontId="7" fillId="6" borderId="2" xfId="0" applyNumberFormat="1" applyFont="1" applyFill="1" applyBorder="1" applyAlignment="1">
      <alignment horizontal="left"/>
    </xf>
    <xf numFmtId="164" fontId="7" fillId="6" borderId="2" xfId="0" applyNumberFormat="1" applyFont="1" applyFill="1" applyBorder="1" applyAlignment="1">
      <alignment horizontal="right"/>
    </xf>
    <xf numFmtId="165" fontId="7" fillId="6" borderId="2" xfId="0" applyNumberFormat="1" applyFont="1" applyFill="1" applyBorder="1" applyAlignment="1">
      <alignment horizontal="right"/>
    </xf>
    <xf numFmtId="0" fontId="0" fillId="6" borderId="2" xfId="0" applyFill="1" applyBorder="1"/>
    <xf numFmtId="0" fontId="10" fillId="5" borderId="2" xfId="0" applyFont="1" applyFill="1" applyBorder="1"/>
    <xf numFmtId="164" fontId="11" fillId="5" borderId="2" xfId="0" applyNumberFormat="1" applyFont="1" applyFill="1" applyBorder="1"/>
    <xf numFmtId="0" fontId="11" fillId="5" borderId="2" xfId="0" applyFont="1" applyFill="1" applyBorder="1" applyAlignment="1">
      <alignment horizontal="right"/>
    </xf>
    <xf numFmtId="0" fontId="0" fillId="5" borderId="2" xfId="0" applyFill="1" applyBorder="1"/>
    <xf numFmtId="0" fontId="10" fillId="8" borderId="2" xfId="0" applyFont="1" applyFill="1" applyBorder="1"/>
    <xf numFmtId="164" fontId="12" fillId="8" borderId="2" xfId="0" applyNumberFormat="1" applyFont="1" applyFill="1" applyBorder="1"/>
    <xf numFmtId="0" fontId="12" fillId="8" borderId="2" xfId="0" applyFont="1" applyFill="1" applyBorder="1" applyAlignment="1">
      <alignment horizontal="right"/>
    </xf>
    <xf numFmtId="0" fontId="0" fillId="8" borderId="2" xfId="0" applyFill="1" applyBorder="1"/>
    <xf numFmtId="0" fontId="0" fillId="0" borderId="2" xfId="0" applyBorder="1"/>
    <xf numFmtId="164" fontId="11" fillId="5" borderId="2" xfId="0" applyNumberFormat="1" applyFont="1" applyFill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0" fillId="9" borderId="2" xfId="0" applyFont="1" applyFill="1" applyBorder="1"/>
    <xf numFmtId="164" fontId="14" fillId="9" borderId="2" xfId="0" applyNumberFormat="1" applyFont="1" applyFill="1" applyBorder="1" applyAlignment="1">
      <alignment horizontal="right"/>
    </xf>
    <xf numFmtId="3" fontId="11" fillId="5" borderId="2" xfId="0" applyNumberFormat="1" applyFont="1" applyFill="1" applyBorder="1"/>
    <xf numFmtId="0" fontId="16" fillId="0" borderId="0" xfId="0" applyFont="1"/>
    <xf numFmtId="166" fontId="16" fillId="0" borderId="0" xfId="0" applyNumberFormat="1" applyFont="1"/>
    <xf numFmtId="0" fontId="20" fillId="0" borderId="0" xfId="0" applyFont="1" applyAlignment="1">
      <alignment horizontal="left" vertical="center" indent="2"/>
    </xf>
    <xf numFmtId="3" fontId="10" fillId="11" borderId="3" xfId="0" applyNumberFormat="1" applyFont="1" applyFill="1" applyBorder="1" applyAlignment="1">
      <alignment horizontal="right" vertical="center"/>
    </xf>
    <xf numFmtId="0" fontId="21" fillId="0" borderId="0" xfId="0" applyFont="1" applyAlignment="1">
      <alignment horizontal="left" vertical="center" indent="1"/>
    </xf>
    <xf numFmtId="166" fontId="10" fillId="11" borderId="3" xfId="0" applyNumberFormat="1" applyFont="1" applyFill="1" applyBorder="1" applyAlignment="1">
      <alignment horizontal="right" vertical="center"/>
    </xf>
    <xf numFmtId="165" fontId="10" fillId="11" borderId="3" xfId="0" applyNumberFormat="1" applyFont="1" applyFill="1" applyBorder="1" applyAlignment="1">
      <alignment horizontal="right" vertical="center"/>
    </xf>
    <xf numFmtId="165" fontId="20" fillId="10" borderId="3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 indent="1"/>
    </xf>
    <xf numFmtId="166" fontId="11" fillId="4" borderId="3" xfId="0" applyNumberFormat="1" applyFont="1" applyFill="1" applyBorder="1" applyAlignment="1">
      <alignment horizontal="right" vertical="center"/>
    </xf>
    <xf numFmtId="165" fontId="22" fillId="4" borderId="3" xfId="0" applyNumberFormat="1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indent="2"/>
    </xf>
    <xf numFmtId="166" fontId="7" fillId="11" borderId="3" xfId="0" applyNumberFormat="1" applyFont="1" applyFill="1" applyBorder="1" applyAlignment="1">
      <alignment horizontal="right" vertical="center"/>
    </xf>
    <xf numFmtId="166" fontId="8" fillId="10" borderId="3" xfId="0" applyNumberFormat="1" applyFont="1" applyFill="1" applyBorder="1" applyAlignment="1">
      <alignment horizontal="right" vertical="center"/>
    </xf>
    <xf numFmtId="165" fontId="8" fillId="10" borderId="3" xfId="0" applyNumberFormat="1" applyFont="1" applyFill="1" applyBorder="1" applyAlignment="1">
      <alignment horizontal="right" vertical="center"/>
    </xf>
    <xf numFmtId="0" fontId="11" fillId="4" borderId="3" xfId="0" applyFont="1" applyFill="1" applyBorder="1" applyAlignment="1">
      <alignment horizontal="center" vertical="center"/>
    </xf>
    <xf numFmtId="0" fontId="25" fillId="12" borderId="3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13" borderId="3" xfId="0" applyFont="1" applyFill="1" applyBorder="1" applyAlignment="1">
      <alignment horizontal="center" vertical="center"/>
    </xf>
    <xf numFmtId="169" fontId="27" fillId="14" borderId="2" xfId="0" applyNumberFormat="1" applyFont="1" applyFill="1" applyBorder="1" applyAlignment="1">
      <alignment horizontal="right"/>
    </xf>
    <xf numFmtId="165" fontId="11" fillId="5" borderId="2" xfId="0" applyNumberFormat="1" applyFont="1" applyFill="1" applyBorder="1"/>
    <xf numFmtId="0" fontId="10" fillId="15" borderId="2" xfId="0" applyFont="1" applyFill="1" applyBorder="1"/>
    <xf numFmtId="164" fontId="10" fillId="15" borderId="2" xfId="0" applyNumberFormat="1" applyFont="1" applyFill="1" applyBorder="1"/>
    <xf numFmtId="164" fontId="14" fillId="9" borderId="2" xfId="0" applyNumberFormat="1" applyFont="1" applyFill="1" applyBorder="1"/>
    <xf numFmtId="3" fontId="9" fillId="0" borderId="2" xfId="0" applyNumberFormat="1" applyFont="1" applyBorder="1" applyAlignment="1">
      <alignment horizontal="right"/>
    </xf>
    <xf numFmtId="3" fontId="8" fillId="0" borderId="2" xfId="0" applyNumberFormat="1" applyFont="1" applyBorder="1" applyAlignment="1">
      <alignment horizontal="right"/>
    </xf>
    <xf numFmtId="166" fontId="8" fillId="0" borderId="2" xfId="0" applyNumberFormat="1" applyFont="1" applyBorder="1" applyAlignment="1">
      <alignment horizontal="right"/>
    </xf>
    <xf numFmtId="166" fontId="0" fillId="0" borderId="0" xfId="0" applyNumberFormat="1"/>
    <xf numFmtId="169" fontId="11" fillId="5" borderId="2" xfId="0" applyNumberFormat="1" applyFont="1" applyFill="1" applyBorder="1"/>
    <xf numFmtId="170" fontId="8" fillId="0" borderId="2" xfId="0" applyNumberFormat="1" applyFont="1" applyBorder="1" applyAlignment="1">
      <alignment horizontal="right"/>
    </xf>
    <xf numFmtId="165" fontId="13" fillId="0" borderId="2" xfId="0" applyNumberFormat="1" applyFont="1" applyBorder="1" applyAlignment="1">
      <alignment horizontal="center"/>
    </xf>
    <xf numFmtId="169" fontId="8" fillId="0" borderId="2" xfId="0" applyNumberFormat="1" applyFont="1" applyBorder="1" applyAlignment="1">
      <alignment horizontal="right"/>
    </xf>
    <xf numFmtId="0" fontId="8" fillId="0" borderId="0" xfId="0" applyFont="1"/>
    <xf numFmtId="10" fontId="27" fillId="14" borderId="2" xfId="0" applyNumberFormat="1" applyFont="1" applyFill="1" applyBorder="1" applyAlignment="1">
      <alignment horizontal="right"/>
    </xf>
    <xf numFmtId="165" fontId="27" fillId="14" borderId="2" xfId="0" applyNumberFormat="1" applyFont="1" applyFill="1" applyBorder="1" applyAlignment="1">
      <alignment horizontal="right"/>
    </xf>
    <xf numFmtId="165" fontId="8" fillId="0" borderId="2" xfId="0" applyNumberFormat="1" applyFont="1" applyBorder="1"/>
    <xf numFmtId="10" fontId="11" fillId="5" borderId="2" xfId="0" applyNumberFormat="1" applyFont="1" applyFill="1" applyBorder="1"/>
    <xf numFmtId="164" fontId="27" fillId="14" borderId="2" xfId="0" applyNumberFormat="1" applyFont="1" applyFill="1" applyBorder="1" applyAlignment="1">
      <alignment horizontal="right"/>
    </xf>
    <xf numFmtId="3" fontId="27" fillId="14" borderId="2" xfId="0" applyNumberFormat="1" applyFont="1" applyFill="1" applyBorder="1" applyAlignment="1">
      <alignment horizontal="right"/>
    </xf>
    <xf numFmtId="0" fontId="23" fillId="13" borderId="3" xfId="0" applyFont="1" applyFill="1" applyBorder="1" applyAlignment="1">
      <alignment horizontal="center" vertical="center"/>
    </xf>
    <xf numFmtId="165" fontId="20" fillId="10" borderId="3" xfId="0" applyNumberFormat="1" applyFont="1" applyFill="1" applyBorder="1" applyAlignment="1">
      <alignment horizontal="right" vertical="center"/>
    </xf>
    <xf numFmtId="165" fontId="5" fillId="4" borderId="3" xfId="0" applyNumberFormat="1" applyFont="1" applyFill="1" applyBorder="1" applyAlignment="1">
      <alignment horizontal="right" vertical="center"/>
    </xf>
    <xf numFmtId="49" fontId="27" fillId="14" borderId="2" xfId="0" applyNumberFormat="1" applyFont="1" applyFill="1" applyBorder="1" applyAlignment="1">
      <alignment horizontal="center"/>
    </xf>
    <xf numFmtId="171" fontId="8" fillId="0" borderId="2" xfId="0" applyNumberFormat="1" applyFont="1" applyBorder="1"/>
    <xf numFmtId="172" fontId="8" fillId="0" borderId="2" xfId="0" applyNumberFormat="1" applyFont="1" applyBorder="1" applyAlignment="1">
      <alignment horizontal="right"/>
    </xf>
    <xf numFmtId="173" fontId="8" fillId="0" borderId="2" xfId="0" applyNumberFormat="1" applyFont="1" applyBorder="1" applyAlignment="1">
      <alignment horizontal="right"/>
    </xf>
    <xf numFmtId="165" fontId="29" fillId="0" borderId="2" xfId="0" applyNumberFormat="1" applyFont="1" applyBorder="1" applyAlignment="1">
      <alignment horizontal="right"/>
    </xf>
    <xf numFmtId="0" fontId="2" fillId="0" borderId="0" xfId="0" applyFont="1"/>
    <xf numFmtId="0" fontId="31" fillId="4" borderId="3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 indent="2"/>
    </xf>
    <xf numFmtId="10" fontId="33" fillId="11" borderId="3" xfId="0" applyNumberFormat="1" applyFont="1" applyFill="1" applyBorder="1" applyAlignment="1">
      <alignment horizontal="right" vertical="center"/>
    </xf>
    <xf numFmtId="174" fontId="34" fillId="10" borderId="3" xfId="0" applyNumberFormat="1" applyFont="1" applyFill="1" applyBorder="1" applyAlignment="1">
      <alignment horizontal="right" vertical="center"/>
    </xf>
    <xf numFmtId="172" fontId="34" fillId="10" borderId="3" xfId="0" applyNumberFormat="1" applyFont="1" applyFill="1" applyBorder="1" applyAlignment="1">
      <alignment horizontal="right" vertical="center"/>
    </xf>
    <xf numFmtId="0" fontId="35" fillId="0" borderId="0" xfId="0" applyFont="1" applyAlignment="1">
      <alignment horizontal="left" vertical="center" indent="1"/>
    </xf>
    <xf numFmtId="0" fontId="36" fillId="11" borderId="0" xfId="0" applyFont="1" applyFill="1" applyAlignment="1">
      <alignment horizontal="left" vertical="center" indent="1"/>
    </xf>
    <xf numFmtId="10" fontId="37" fillId="11" borderId="3" xfId="0" applyNumberFormat="1" applyFont="1" applyFill="1" applyBorder="1" applyAlignment="1">
      <alignment horizontal="right" vertical="center"/>
    </xf>
    <xf numFmtId="174" fontId="36" fillId="11" borderId="3" xfId="0" applyNumberFormat="1" applyFont="1" applyFill="1" applyBorder="1" applyAlignment="1">
      <alignment horizontal="right" vertical="center"/>
    </xf>
    <xf numFmtId="172" fontId="36" fillId="11" borderId="3" xfId="0" applyNumberFormat="1" applyFont="1" applyFill="1" applyBorder="1" applyAlignment="1">
      <alignment horizontal="right" vertical="center"/>
    </xf>
    <xf numFmtId="0" fontId="35" fillId="0" borderId="0" xfId="0" applyFont="1" applyAlignment="1">
      <alignment horizontal="left" vertical="center" indent="2"/>
    </xf>
    <xf numFmtId="10" fontId="35" fillId="0" borderId="0" xfId="0" applyNumberFormat="1" applyFont="1"/>
    <xf numFmtId="0" fontId="32" fillId="0" borderId="0" xfId="0" applyFont="1" applyAlignment="1">
      <alignment horizontal="left" vertical="center" indent="1"/>
    </xf>
    <xf numFmtId="173" fontId="35" fillId="0" borderId="0" xfId="0" applyNumberFormat="1" applyFont="1" applyAlignment="1">
      <alignment horizontal="left" vertical="center" indent="1"/>
    </xf>
    <xf numFmtId="0" fontId="36" fillId="0" borderId="0" xfId="0" applyFont="1" applyAlignment="1">
      <alignment horizontal="left" vertical="center"/>
    </xf>
    <xf numFmtId="166" fontId="2" fillId="0" borderId="0" xfId="0" applyNumberFormat="1" applyFont="1"/>
    <xf numFmtId="173" fontId="2" fillId="0" borderId="0" xfId="0" applyNumberFormat="1" applyFont="1"/>
    <xf numFmtId="0" fontId="38" fillId="4" borderId="0" xfId="0" applyFont="1" applyFill="1" applyAlignment="1">
      <alignment horizontal="left" vertical="center" indent="1"/>
    </xf>
    <xf numFmtId="174" fontId="38" fillId="4" borderId="3" xfId="0" applyNumberFormat="1" applyFont="1" applyFill="1" applyBorder="1" applyAlignment="1">
      <alignment horizontal="right" vertical="center"/>
    </xf>
    <xf numFmtId="172" fontId="38" fillId="4" borderId="3" xfId="0" applyNumberFormat="1" applyFont="1" applyFill="1" applyBorder="1" applyAlignment="1">
      <alignment horizontal="right" vertical="center"/>
    </xf>
    <xf numFmtId="175" fontId="39" fillId="11" borderId="3" xfId="0" applyNumberFormat="1" applyFont="1" applyFill="1" applyBorder="1" applyAlignment="1">
      <alignment horizontal="right" vertical="center"/>
    </xf>
    <xf numFmtId="172" fontId="2" fillId="0" borderId="0" xfId="0" applyNumberFormat="1" applyFont="1"/>
    <xf numFmtId="0" fontId="31" fillId="4" borderId="3" xfId="0" applyFont="1" applyFill="1" applyBorder="1" applyAlignment="1">
      <alignment horizontal="center"/>
    </xf>
    <xf numFmtId="173" fontId="31" fillId="4" borderId="3" xfId="0" applyNumberFormat="1" applyFont="1" applyFill="1" applyBorder="1" applyAlignment="1">
      <alignment horizontal="center"/>
    </xf>
    <xf numFmtId="0" fontId="40" fillId="10" borderId="3" xfId="0" applyFont="1" applyFill="1" applyBorder="1"/>
    <xf numFmtId="174" fontId="41" fillId="11" borderId="3" xfId="0" applyNumberFormat="1" applyFont="1" applyFill="1" applyBorder="1"/>
    <xf numFmtId="173" fontId="14" fillId="9" borderId="2" xfId="0" applyNumberFormat="1" applyFont="1" applyFill="1" applyBorder="1" applyAlignment="1">
      <alignment horizontal="right"/>
    </xf>
    <xf numFmtId="172" fontId="14" fillId="9" borderId="2" xfId="0" applyNumberFormat="1" applyFont="1" applyFill="1" applyBorder="1" applyAlignment="1">
      <alignment horizontal="right"/>
    </xf>
    <xf numFmtId="165" fontId="14" fillId="9" borderId="2" xfId="0" applyNumberFormat="1" applyFont="1" applyFill="1" applyBorder="1" applyAlignment="1">
      <alignment horizontal="right"/>
    </xf>
    <xf numFmtId="176" fontId="8" fillId="0" borderId="2" xfId="0" applyNumberFormat="1" applyFont="1" applyBorder="1" applyAlignment="1">
      <alignment horizontal="right"/>
    </xf>
    <xf numFmtId="164" fontId="42" fillId="0" borderId="2" xfId="0" applyNumberFormat="1" applyFont="1" applyBorder="1" applyAlignment="1">
      <alignment horizontal="right"/>
    </xf>
    <xf numFmtId="10" fontId="27" fillId="5" borderId="2" xfId="0" applyNumberFormat="1" applyFont="1" applyFill="1" applyBorder="1" applyAlignment="1">
      <alignment horizontal="right"/>
    </xf>
    <xf numFmtId="173" fontId="8" fillId="5" borderId="2" xfId="0" applyNumberFormat="1" applyFont="1" applyFill="1" applyBorder="1" applyAlignment="1">
      <alignment horizontal="right"/>
    </xf>
    <xf numFmtId="165" fontId="8" fillId="5" borderId="2" xfId="0" applyNumberFormat="1" applyFont="1" applyFill="1" applyBorder="1" applyAlignment="1">
      <alignment horizontal="right"/>
    </xf>
    <xf numFmtId="164" fontId="8" fillId="5" borderId="2" xfId="0" applyNumberFormat="1" applyFont="1" applyFill="1" applyBorder="1" applyAlignment="1">
      <alignment horizontal="right"/>
    </xf>
    <xf numFmtId="173" fontId="9" fillId="0" borderId="2" xfId="0" applyNumberFormat="1" applyFont="1" applyBorder="1" applyAlignment="1">
      <alignment horizontal="right"/>
    </xf>
    <xf numFmtId="0" fontId="0" fillId="0" borderId="4" xfId="0" applyBorder="1"/>
    <xf numFmtId="177" fontId="0" fillId="0" borderId="4" xfId="0" applyNumberFormat="1" applyBorder="1"/>
    <xf numFmtId="172" fontId="8" fillId="0" borderId="4" xfId="0" applyNumberFormat="1" applyFont="1" applyBorder="1" applyAlignment="1">
      <alignment horizontal="right"/>
    </xf>
    <xf numFmtId="173" fontId="8" fillId="0" borderId="4" xfId="0" applyNumberFormat="1" applyFont="1" applyBorder="1" applyAlignment="1">
      <alignment horizontal="right"/>
    </xf>
    <xf numFmtId="166" fontId="7" fillId="10" borderId="3" xfId="0" applyNumberFormat="1" applyFont="1" applyFill="1" applyBorder="1" applyAlignment="1">
      <alignment horizontal="right" vertical="center"/>
    </xf>
    <xf numFmtId="0" fontId="21" fillId="0" borderId="0" xfId="0" applyFont="1" applyAlignment="1">
      <alignment horizontal="left" vertical="center" wrapText="1" indent="1"/>
    </xf>
    <xf numFmtId="0" fontId="44" fillId="11" borderId="0" xfId="0" applyFont="1" applyFill="1" applyAlignment="1">
      <alignment horizontal="left" vertical="center" indent="1"/>
    </xf>
    <xf numFmtId="0" fontId="45" fillId="0" borderId="0" xfId="0" applyFont="1" applyAlignment="1">
      <alignment horizontal="left" vertical="center" wrapText="1" indent="1"/>
    </xf>
    <xf numFmtId="0" fontId="20" fillId="11" borderId="0" xfId="0" applyFont="1" applyFill="1" applyAlignment="1">
      <alignment horizontal="left" vertical="center" indent="2"/>
    </xf>
    <xf numFmtId="0" fontId="46" fillId="4" borderId="0" xfId="0" applyFont="1" applyFill="1" applyAlignment="1">
      <alignment horizontal="left" vertical="center" indent="1"/>
    </xf>
    <xf numFmtId="166" fontId="6" fillId="4" borderId="3" xfId="0" applyNumberFormat="1" applyFont="1" applyFill="1" applyBorder="1" applyAlignment="1">
      <alignment horizontal="right" vertical="center"/>
    </xf>
    <xf numFmtId="9" fontId="8" fillId="10" borderId="3" xfId="0" applyNumberFormat="1" applyFont="1" applyFill="1" applyBorder="1" applyAlignment="1">
      <alignment horizontal="right" vertical="center"/>
    </xf>
    <xf numFmtId="0" fontId="47" fillId="4" borderId="0" xfId="0" applyFont="1" applyFill="1" applyAlignment="1">
      <alignment horizontal="left" vertical="center" indent="1"/>
    </xf>
    <xf numFmtId="9" fontId="6" fillId="4" borderId="3" xfId="0" applyNumberFormat="1" applyFont="1" applyFill="1" applyBorder="1" applyAlignment="1">
      <alignment horizontal="right" vertical="center"/>
    </xf>
    <xf numFmtId="9" fontId="7" fillId="11" borderId="3" xfId="0" applyNumberFormat="1" applyFont="1" applyFill="1" applyBorder="1" applyAlignment="1">
      <alignment horizontal="right" vertical="center"/>
    </xf>
    <xf numFmtId="165" fontId="7" fillId="10" borderId="3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 indent="1"/>
    </xf>
    <xf numFmtId="3" fontId="7" fillId="11" borderId="3" xfId="0" applyNumberFormat="1" applyFont="1" applyFill="1" applyBorder="1" applyAlignment="1">
      <alignment horizontal="right" vertical="center"/>
    </xf>
    <xf numFmtId="49" fontId="7" fillId="11" borderId="3" xfId="0" applyNumberFormat="1" applyFont="1" applyFill="1" applyBorder="1" applyAlignment="1">
      <alignment horizontal="center" vertical="center"/>
    </xf>
    <xf numFmtId="0" fontId="49" fillId="4" borderId="0" xfId="0" applyFont="1" applyFill="1"/>
    <xf numFmtId="3" fontId="6" fillId="4" borderId="3" xfId="0" applyNumberFormat="1" applyFont="1" applyFill="1" applyBorder="1" applyAlignment="1">
      <alignment horizontal="right" vertical="center"/>
    </xf>
    <xf numFmtId="165" fontId="6" fillId="4" borderId="3" xfId="0" applyNumberFormat="1" applyFont="1" applyFill="1" applyBorder="1" applyAlignment="1">
      <alignment horizontal="right" vertical="center"/>
    </xf>
    <xf numFmtId="0" fontId="49" fillId="4" borderId="0" xfId="0" applyFont="1" applyFill="1" applyAlignment="1">
      <alignment horizontal="center"/>
    </xf>
    <xf numFmtId="0" fontId="48" fillId="4" borderId="0" xfId="0" applyFont="1" applyFill="1" applyAlignment="1">
      <alignment horizontal="center"/>
    </xf>
    <xf numFmtId="178" fontId="7" fillId="10" borderId="3" xfId="0" applyNumberFormat="1" applyFont="1" applyFill="1" applyBorder="1" applyAlignment="1">
      <alignment horizontal="right" vertical="center"/>
    </xf>
    <xf numFmtId="178" fontId="8" fillId="10" borderId="3" xfId="0" applyNumberFormat="1" applyFont="1" applyFill="1" applyBorder="1" applyAlignment="1">
      <alignment horizontal="right" vertical="center"/>
    </xf>
    <xf numFmtId="178" fontId="6" fillId="4" borderId="3" xfId="0" applyNumberFormat="1" applyFont="1" applyFill="1" applyBorder="1" applyAlignment="1">
      <alignment horizontal="right" vertical="center"/>
    </xf>
    <xf numFmtId="168" fontId="8" fillId="10" borderId="3" xfId="0" applyNumberFormat="1" applyFont="1" applyFill="1" applyBorder="1" applyAlignment="1">
      <alignment horizontal="right" vertical="center"/>
    </xf>
    <xf numFmtId="169" fontId="8" fillId="10" borderId="3" xfId="0" applyNumberFormat="1" applyFont="1" applyFill="1" applyBorder="1" applyAlignment="1">
      <alignment horizontal="right" vertical="center"/>
    </xf>
    <xf numFmtId="178" fontId="7" fillId="11" borderId="3" xfId="0" applyNumberFormat="1" applyFont="1" applyFill="1" applyBorder="1" applyAlignment="1">
      <alignment horizontal="right" vertical="center"/>
    </xf>
    <xf numFmtId="0" fontId="22" fillId="0" borderId="2" xfId="0" applyFont="1" applyBorder="1" applyAlignment="1">
      <alignment horizontal="center"/>
    </xf>
    <xf numFmtId="0" fontId="50" fillId="0" borderId="2" xfId="0" applyFont="1" applyBorder="1"/>
    <xf numFmtId="179" fontId="27" fillId="14" borderId="2" xfId="0" applyNumberFormat="1" applyFont="1" applyFill="1" applyBorder="1" applyAlignment="1">
      <alignment horizontal="right"/>
    </xf>
    <xf numFmtId="0" fontId="22" fillId="5" borderId="2" xfId="0" applyFont="1" applyFill="1" applyBorder="1" applyAlignment="1">
      <alignment horizontal="center"/>
    </xf>
    <xf numFmtId="0" fontId="50" fillId="5" borderId="2" xfId="0" applyFont="1" applyFill="1" applyBorder="1"/>
    <xf numFmtId="164" fontId="27" fillId="5" borderId="2" xfId="0" applyNumberFormat="1" applyFont="1" applyFill="1" applyBorder="1" applyAlignment="1">
      <alignment horizontal="right"/>
    </xf>
    <xf numFmtId="165" fontId="27" fillId="5" borderId="2" xfId="0" applyNumberFormat="1" applyFont="1" applyFill="1" applyBorder="1" applyAlignment="1">
      <alignment horizontal="right"/>
    </xf>
    <xf numFmtId="179" fontId="27" fillId="5" borderId="2" xfId="0" applyNumberFormat="1" applyFont="1" applyFill="1" applyBorder="1" applyAlignment="1">
      <alignment horizontal="right"/>
    </xf>
    <xf numFmtId="0" fontId="13" fillId="5" borderId="2" xfId="0" applyFont="1" applyFill="1" applyBorder="1"/>
    <xf numFmtId="0" fontId="9" fillId="0" borderId="2" xfId="0" applyFont="1" applyBorder="1"/>
    <xf numFmtId="165" fontId="9" fillId="0" borderId="2" xfId="0" applyNumberFormat="1" applyFont="1" applyBorder="1"/>
    <xf numFmtId="164" fontId="9" fillId="0" borderId="2" xfId="0" applyNumberFormat="1" applyFont="1" applyBorder="1"/>
    <xf numFmtId="164" fontId="29" fillId="0" borderId="2" xfId="0" applyNumberFormat="1" applyFont="1" applyBorder="1" applyAlignment="1">
      <alignment horizontal="right"/>
    </xf>
    <xf numFmtId="164" fontId="42" fillId="5" borderId="2" xfId="0" applyNumberFormat="1" applyFont="1" applyFill="1" applyBorder="1" applyAlignment="1">
      <alignment horizontal="right"/>
    </xf>
    <xf numFmtId="179" fontId="9" fillId="0" borderId="2" xfId="0" applyNumberFormat="1" applyFont="1" applyBorder="1"/>
    <xf numFmtId="0" fontId="0" fillId="15" borderId="2" xfId="0" applyFill="1" applyBorder="1"/>
    <xf numFmtId="3" fontId="10" fillId="15" borderId="2" xfId="0" applyNumberFormat="1" applyFont="1" applyFill="1" applyBorder="1"/>
    <xf numFmtId="164" fontId="12" fillId="15" borderId="2" xfId="0" applyNumberFormat="1" applyFont="1" applyFill="1" applyBorder="1"/>
    <xf numFmtId="164" fontId="14" fillId="15" borderId="2" xfId="0" applyNumberFormat="1" applyFont="1" applyFill="1" applyBorder="1"/>
    <xf numFmtId="0" fontId="51" fillId="0" borderId="2" xfId="0" applyFont="1" applyBorder="1"/>
    <xf numFmtId="0" fontId="52" fillId="5" borderId="2" xfId="0" applyFont="1" applyFill="1" applyBorder="1"/>
    <xf numFmtId="169" fontId="27" fillId="5" borderId="2" xfId="0" applyNumberFormat="1" applyFont="1" applyFill="1" applyBorder="1" applyAlignment="1">
      <alignment horizontal="right"/>
    </xf>
    <xf numFmtId="3" fontId="8" fillId="5" borderId="2" xfId="0" applyNumberFormat="1" applyFont="1" applyFill="1" applyBorder="1" applyAlignment="1">
      <alignment horizontal="right"/>
    </xf>
    <xf numFmtId="169" fontId="8" fillId="5" borderId="2" xfId="0" applyNumberFormat="1" applyFont="1" applyFill="1" applyBorder="1" applyAlignment="1">
      <alignment horizontal="right"/>
    </xf>
    <xf numFmtId="0" fontId="53" fillId="0" borderId="2" xfId="0" applyFont="1" applyBorder="1"/>
    <xf numFmtId="165" fontId="9" fillId="0" borderId="2" xfId="0" applyNumberFormat="1" applyFont="1" applyBorder="1" applyAlignment="1">
      <alignment horizontal="right"/>
    </xf>
    <xf numFmtId="0" fontId="8" fillId="5" borderId="2" xfId="0" applyFont="1" applyFill="1" applyBorder="1"/>
    <xf numFmtId="165" fontId="9" fillId="5" borderId="2" xfId="0" applyNumberFormat="1" applyFont="1" applyFill="1" applyBorder="1" applyAlignment="1">
      <alignment horizontal="right"/>
    </xf>
    <xf numFmtId="0" fontId="9" fillId="0" borderId="2" xfId="0" applyFont="1" applyBorder="1" applyAlignment="1">
      <alignment horizontal="center"/>
    </xf>
    <xf numFmtId="3" fontId="10" fillId="0" borderId="2" xfId="0" applyNumberFormat="1" applyFont="1" applyBorder="1" applyAlignment="1">
      <alignment horizontal="right"/>
    </xf>
    <xf numFmtId="164" fontId="10" fillId="5" borderId="2" xfId="0" applyNumberFormat="1" applyFont="1" applyFill="1" applyBorder="1" applyAlignment="1">
      <alignment horizontal="right"/>
    </xf>
    <xf numFmtId="164" fontId="10" fillId="0" borderId="2" xfId="0" applyNumberFormat="1" applyFont="1" applyBorder="1" applyAlignment="1">
      <alignment horizontal="right"/>
    </xf>
    <xf numFmtId="180" fontId="27" fillId="14" borderId="2" xfId="0" applyNumberFormat="1" applyFont="1" applyFill="1" applyBorder="1" applyAlignment="1">
      <alignment horizontal="right"/>
    </xf>
    <xf numFmtId="0" fontId="13" fillId="0" borderId="0" xfId="0" applyFont="1" applyAlignment="1">
      <alignment horizontal="right"/>
    </xf>
    <xf numFmtId="165" fontId="10" fillId="0" borderId="2" xfId="0" applyNumberFormat="1" applyFont="1" applyBorder="1" applyAlignment="1">
      <alignment horizontal="right"/>
    </xf>
    <xf numFmtId="165" fontId="27" fillId="16" borderId="2" xfId="0" applyNumberFormat="1" applyFont="1" applyFill="1" applyBorder="1" applyAlignment="1">
      <alignment horizontal="right"/>
    </xf>
    <xf numFmtId="164" fontId="12" fillId="8" borderId="2" xfId="0" applyNumberFormat="1" applyFont="1" applyFill="1" applyBorder="1" applyAlignment="1">
      <alignment horizontal="right"/>
    </xf>
    <xf numFmtId="164" fontId="14" fillId="5" borderId="2" xfId="0" applyNumberFormat="1" applyFont="1" applyFill="1" applyBorder="1" applyAlignment="1">
      <alignment horizontal="right"/>
    </xf>
    <xf numFmtId="3" fontId="42" fillId="0" borderId="2" xfId="0" applyNumberFormat="1" applyFont="1" applyBorder="1"/>
    <xf numFmtId="164" fontId="42" fillId="0" borderId="2" xfId="0" applyNumberFormat="1" applyFont="1" applyBorder="1"/>
    <xf numFmtId="164" fontId="0" fillId="0" borderId="0" xfId="0" applyNumberFormat="1"/>
    <xf numFmtId="0" fontId="1" fillId="17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48" fillId="4" borderId="0" xfId="0" applyFont="1" applyFill="1" applyAlignment="1">
      <alignment horizontal="left" vertical="center" wrapText="1" indent="1"/>
    </xf>
    <xf numFmtId="0" fontId="10" fillId="2" borderId="0" xfId="0" applyFont="1" applyFill="1" applyAlignment="1">
      <alignment horizontal="left" vertical="center" indent="1"/>
    </xf>
    <xf numFmtId="0" fontId="23" fillId="4" borderId="3" xfId="0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 wrapText="1" indent="1"/>
    </xf>
    <xf numFmtId="0" fontId="15" fillId="0" borderId="0" xfId="0" applyFont="1" applyAlignment="1">
      <alignment horizontal="left" vertical="center" indent="1"/>
    </xf>
    <xf numFmtId="0" fontId="8" fillId="0" borderId="2" xfId="0" applyFont="1" applyBorder="1"/>
    <xf numFmtId="0" fontId="5" fillId="3" borderId="2" xfId="0" applyFont="1" applyFill="1" applyBorder="1" applyAlignment="1">
      <alignment horizontal="left" vertical="center"/>
    </xf>
    <xf numFmtId="0" fontId="7" fillId="5" borderId="2" xfId="0" applyFont="1" applyFill="1" applyBorder="1"/>
    <xf numFmtId="0" fontId="7" fillId="7" borderId="2" xfId="0" applyFont="1" applyFill="1" applyBorder="1"/>
    <xf numFmtId="0" fontId="4" fillId="0" borderId="0" xfId="0" applyFont="1"/>
    <xf numFmtId="0" fontId="20" fillId="10" borderId="3" xfId="0" applyFont="1" applyFill="1" applyBorder="1" applyAlignment="1">
      <alignment horizontal="left" vertical="center" wrapText="1" indent="1"/>
    </xf>
    <xf numFmtId="0" fontId="17" fillId="2" borderId="0" xfId="0" applyFont="1" applyFill="1" applyAlignment="1">
      <alignment horizontal="left" vertical="center" indent="1"/>
    </xf>
    <xf numFmtId="0" fontId="26" fillId="11" borderId="3" xfId="0" applyFont="1" applyFill="1" applyBorder="1" applyAlignment="1">
      <alignment horizontal="left" vertical="center" wrapText="1" indent="2"/>
    </xf>
    <xf numFmtId="0" fontId="21" fillId="0" borderId="0" xfId="0" applyFont="1" applyAlignment="1">
      <alignment horizontal="right" vertical="center" indent="1"/>
    </xf>
    <xf numFmtId="0" fontId="20" fillId="0" borderId="0" xfId="0" applyFont="1" applyAlignment="1">
      <alignment horizontal="left" vertical="center" indent="2"/>
    </xf>
    <xf numFmtId="166" fontId="10" fillId="11" borderId="3" xfId="0" applyNumberFormat="1" applyFont="1" applyFill="1" applyBorder="1" applyAlignment="1">
      <alignment horizontal="right" vertical="center"/>
    </xf>
    <xf numFmtId="165" fontId="10" fillId="11" borderId="3" xfId="0" applyNumberFormat="1" applyFont="1" applyFill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167" fontId="10" fillId="11" borderId="3" xfId="0" applyNumberFormat="1" applyFont="1" applyFill="1" applyBorder="1" applyAlignment="1">
      <alignment horizontal="right" vertical="center"/>
    </xf>
    <xf numFmtId="168" fontId="10" fillId="11" borderId="3" xfId="0" applyNumberFormat="1" applyFont="1" applyFill="1" applyBorder="1" applyAlignment="1">
      <alignment horizontal="right" vertical="center"/>
    </xf>
    <xf numFmtId="0" fontId="6" fillId="4" borderId="0" xfId="0" applyFont="1" applyFill="1" applyAlignment="1">
      <alignment horizontal="left" vertical="center" indent="1"/>
    </xf>
    <xf numFmtId="166" fontId="11" fillId="4" borderId="3" xfId="0" applyNumberFormat="1" applyFont="1" applyFill="1" applyBorder="1" applyAlignment="1">
      <alignment horizontal="right" vertical="center"/>
    </xf>
    <xf numFmtId="0" fontId="21" fillId="0" borderId="0" xfId="0" applyFont="1" applyAlignment="1">
      <alignment horizontal="left" vertical="center" indent="1"/>
    </xf>
    <xf numFmtId="3" fontId="10" fillId="11" borderId="3" xfId="0" applyNumberFormat="1" applyFont="1" applyFill="1" applyBorder="1" applyAlignment="1">
      <alignment horizontal="right" vertical="center"/>
    </xf>
    <xf numFmtId="0" fontId="18" fillId="10" borderId="3" xfId="0" applyFont="1" applyFill="1" applyBorder="1" applyAlignment="1">
      <alignment horizontal="center" vertical="center" wrapText="1"/>
    </xf>
    <xf numFmtId="165" fontId="19" fillId="11" borderId="3" xfId="0" applyNumberFormat="1" applyFont="1" applyFill="1" applyBorder="1" applyAlignment="1">
      <alignment horizontal="center" vertical="center"/>
    </xf>
    <xf numFmtId="166" fontId="19" fillId="11" borderId="3" xfId="0" applyNumberFormat="1" applyFont="1" applyFill="1" applyBorder="1" applyAlignment="1">
      <alignment horizontal="center" vertical="center"/>
    </xf>
    <xf numFmtId="0" fontId="1" fillId="17" borderId="0" xfId="0" applyFont="1" applyFill="1" applyAlignment="1">
      <alignment vertical="center"/>
    </xf>
    <xf numFmtId="0" fontId="23" fillId="4" borderId="0" xfId="0" applyFont="1" applyFill="1" applyAlignment="1">
      <alignment horizontal="left" vertical="center" indent="1"/>
    </xf>
    <xf numFmtId="0" fontId="13" fillId="0" borderId="2" xfId="0" applyFont="1" applyBorder="1"/>
    <xf numFmtId="0" fontId="13" fillId="0" borderId="0" xfId="0" applyFont="1"/>
    <xf numFmtId="0" fontId="30" fillId="2" borderId="0" xfId="0" applyFont="1" applyFill="1" applyAlignment="1">
      <alignment horizontal="left" vertical="center" indent="1"/>
    </xf>
    <xf numFmtId="0" fontId="48" fillId="4" borderId="0" xfId="0" applyFont="1" applyFill="1" applyAlignment="1">
      <alignment horizontal="center"/>
    </xf>
    <xf numFmtId="0" fontId="10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8F4EC"/>
      <rgbColor rgb="FFFF00FF"/>
      <rgbColor rgb="FF00FFFF"/>
      <rgbColor rgb="FFB91C1C"/>
      <rgbColor rgb="FF008000"/>
      <rgbColor rgb="FF000080"/>
      <rgbColor rgb="FF808000"/>
      <rgbColor rgb="FF800080"/>
      <rgbColor rgb="FF047857"/>
      <rgbColor rgb="FFB3B3B3"/>
      <rgbColor rgb="FF878787"/>
      <rgbColor rgb="FF93A9CE"/>
      <rgbColor rgb="FFBE4B48"/>
      <rgbColor rgb="FFFFFFCC"/>
      <rgbColor rgb="FFE0F4E8"/>
      <rgbColor rgb="FF660066"/>
      <rgbColor rgb="FFC5A572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0F0F0"/>
      <rgbColor rgb="FFF5EFE0"/>
      <rgbColor rgb="FFFEF5E7"/>
      <rgbColor rgb="FFF0E8D8"/>
      <rgbColor rgb="FFFFEEEE"/>
      <rgbColor rgb="FFF5F0E8"/>
      <rgbColor rgb="FFFFE4B5"/>
      <rgbColor rgb="FF4A7EBB"/>
      <rgbColor rgb="FF33CCCC"/>
      <rgbColor rgb="FF9BBB59"/>
      <rgbColor rgb="FFFFCC00"/>
      <rgbColor rgb="FFFF9900"/>
      <rgbColor rgb="FFFF6600"/>
      <rgbColor rgb="FF6B6760"/>
      <rgbColor rgb="FF999999"/>
      <rgbColor rgb="FF003366"/>
      <rgbColor rgb="FF2E7D32"/>
      <rgbColor rgb="FF0A0A0A"/>
      <rgbColor rgb="FF1A1814"/>
      <rgbColor rgb="FFB22222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Gross Margin %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5-Year Forecast'!$A$23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diamond"/>
            <c:size val="7"/>
            <c:spPr>
              <a:solidFill>
                <a:srgbClr val="FFFF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5-Year Forecast'!$B$15:$F$15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'3. 5-Year Forecast'!$B$23:$F$23</c:f>
              <c:numCache>
                <c:formatCode>0.0%</c:formatCode>
                <c:ptCount val="5"/>
                <c:pt idx="0">
                  <c:v>0.85266153577956227</c:v>
                </c:pt>
                <c:pt idx="1">
                  <c:v>0.8680810844313025</c:v>
                </c:pt>
                <c:pt idx="2">
                  <c:v>0.86148513865286735</c:v>
                </c:pt>
                <c:pt idx="3">
                  <c:v>0.85761571294623828</c:v>
                </c:pt>
                <c:pt idx="4">
                  <c:v>0.85235843192396921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BC-4623-B81B-2C3F2DAC9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2988212"/>
        <c:axId val="32007099"/>
      </c:lineChart>
      <c:catAx>
        <c:axId val="829882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007099"/>
        <c:crosses val="autoZero"/>
        <c:auto val="1"/>
        <c:lblAlgn val="ctr"/>
        <c:lblOffset val="100"/>
        <c:noMultiLvlLbl val="0"/>
      </c:catAx>
      <c:valAx>
        <c:axId val="32007099"/>
        <c:scaling>
          <c:orientation val="minMax"/>
          <c:max val="1"/>
          <c:min val="0.5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GM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9882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LTV / CAC Ratio Y1-Y5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5-Year Forecast'!$A$48</c:f>
              <c:strCache>
                <c:ptCount val="1"/>
                <c:pt idx="0">
                  <c:v>LTV / CAC ratio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5-Year Forecast'!$B$15:$F$15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'3. 5-Year Forecast'!$B$48:$F$48</c:f>
              <c:numCache>
                <c:formatCode>0.0\x</c:formatCode>
                <c:ptCount val="5"/>
                <c:pt idx="0">
                  <c:v>23.522187672267656</c:v>
                </c:pt>
                <c:pt idx="1">
                  <c:v>21.736595524335101</c:v>
                </c:pt>
                <c:pt idx="2">
                  <c:v>12.608778305270045</c:v>
                </c:pt>
                <c:pt idx="3">
                  <c:v>11.893129132170392</c:v>
                </c:pt>
                <c:pt idx="4">
                  <c:v>7.0707794726981499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2-42B3-97AF-78685F20D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53480"/>
        <c:axId val="41376648"/>
      </c:barChart>
      <c:catAx>
        <c:axId val="92534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376648"/>
        <c:crosses val="autoZero"/>
        <c:auto val="1"/>
        <c:lblAlgn val="ctr"/>
        <c:lblOffset val="100"/>
        <c:noMultiLvlLbl val="0"/>
      </c:catAx>
      <c:valAx>
        <c:axId val="413766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Ratio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534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EBITDA Y1-Y5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5-Year Forecast'!$A$29</c:f>
              <c:strCache>
                <c:ptCount val="1"/>
                <c:pt idx="0">
                  <c:v>EBITDA (Net Contribution)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5-Year Forecast'!$B$15:$F$15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'3. 5-Year Forecast'!$B$29:$F$29</c:f>
              <c:numCache>
                <c:formatCode>\$#,##0;"($"#,##0\)</c:formatCode>
                <c:ptCount val="5"/>
                <c:pt idx="0">
                  <c:v>2110595.2015999998</c:v>
                </c:pt>
                <c:pt idx="1">
                  <c:v>5638112.0571250003</c:v>
                </c:pt>
                <c:pt idx="2">
                  <c:v>8437221.9990468733</c:v>
                </c:pt>
                <c:pt idx="3">
                  <c:v>12481340.042632617</c:v>
                </c:pt>
                <c:pt idx="4">
                  <c:v>15761989.739936605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B-46D1-87FF-7FA2B060B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149029"/>
        <c:axId val="53052858"/>
      </c:barChart>
      <c:catAx>
        <c:axId val="831490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052858"/>
        <c:crosses val="autoZero"/>
        <c:auto val="1"/>
        <c:lblAlgn val="ctr"/>
        <c:lblOffset val="100"/>
        <c:noMultiLvlLbl val="0"/>
      </c:catAx>
      <c:valAx>
        <c:axId val="530528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,,\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1490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Revenue: Physical vs AGP — Y1-Y5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5-Year Forecast'!$A$17</c:f>
              <c:strCache>
                <c:ptCount val="1"/>
                <c:pt idx="0">
                  <c:v>Physical revenue</c:v>
                </c:pt>
              </c:strCache>
            </c:strRef>
          </c:tx>
          <c:spPr>
            <a:solidFill>
              <a:srgbClr val="4672A8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5-Year Forecast'!$B$15:$F$15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'3. 5-Year Forecast'!$B$17:$F$17</c:f>
              <c:numCache>
                <c:formatCode>\$#,##0;"($"#,##0\)</c:formatCode>
                <c:ptCount val="5"/>
                <c:pt idx="0">
                  <c:v>696662.5</c:v>
                </c:pt>
                <c:pt idx="1">
                  <c:v>1393325</c:v>
                </c:pt>
                <c:pt idx="2">
                  <c:v>2089987.5</c:v>
                </c:pt>
                <c:pt idx="3">
                  <c:v>2925982.5</c:v>
                </c:pt>
                <c:pt idx="4">
                  <c:v>3657478.125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1-43A2-9B6A-157D8BA6CA41}"/>
            </c:ext>
          </c:extLst>
        </c:ser>
        <c:ser>
          <c:idx val="1"/>
          <c:order val="1"/>
          <c:tx>
            <c:strRef>
              <c:f>'3. 5-Year Forecast'!$A$18</c:f>
              <c:strCache>
                <c:ptCount val="1"/>
                <c:pt idx="0">
                  <c:v>AGP revenue</c:v>
                </c:pt>
              </c:strCache>
            </c:strRef>
          </c:tx>
          <c:spPr>
            <a:solidFill>
              <a:srgbClr val="93A9CE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5-Year Forecast'!$B$15:$F$15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'3. 5-Year Forecast'!$B$18:$F$18</c:f>
              <c:numCache>
                <c:formatCode>\$#,##0;"($"#,##0\)</c:formatCode>
                <c:ptCount val="5"/>
                <c:pt idx="0">
                  <c:v>2395355.9515999998</c:v>
                </c:pt>
                <c:pt idx="1">
                  <c:v>5988389.8789999997</c:v>
                </c:pt>
                <c:pt idx="2">
                  <c:v>8982584.8184999991</c:v>
                </c:pt>
                <c:pt idx="3">
                  <c:v>13473877.22775</c:v>
                </c:pt>
                <c:pt idx="4">
                  <c:v>17516040.396074999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01-43A2-9B6A-157D8BA6C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23827"/>
        <c:axId val="5535745"/>
      </c:barChart>
      <c:catAx>
        <c:axId val="502238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35745"/>
        <c:crosses val="autoZero"/>
        <c:auto val="1"/>
        <c:lblAlgn val="ctr"/>
        <c:lblOffset val="100"/>
        <c:noMultiLvlLbl val="0"/>
      </c:catAx>
      <c:valAx>
        <c:axId val="55357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,,\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238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Korean Retail vs Aurum Gold Price ($/oz)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 Gold Pricing Waterfall'!$K$41</c:f>
              <c:strCache>
                <c:ptCount val="1"/>
                <c:pt idx="0">
                  <c:v>USD/oz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Gold Pricing Waterfall'!$J$42:$J$43</c:f>
              <c:strCache>
                <c:ptCount val="2"/>
                <c:pt idx="0">
                  <c:v>Aurum Gold</c:v>
                </c:pt>
                <c:pt idx="1">
                  <c:v>Korean Retail</c:v>
                </c:pt>
              </c:strCache>
            </c:strRef>
          </c:cat>
          <c:val>
            <c:numRef>
              <c:f>'5. Gold Pricing Waterfall'!$K$42:$K$43</c:f>
              <c:numCache>
                <c:formatCode>\$#,##0.00;"($"#,##0.00\);\-</c:formatCode>
                <c:ptCount val="2"/>
                <c:pt idx="0">
                  <c:v>5277.78</c:v>
                </c:pt>
                <c:pt idx="1">
                  <c:v>5810.4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3-4AE5-9F7E-293D1C7BD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007759"/>
        <c:axId val="66033450"/>
      </c:barChart>
      <c:catAx>
        <c:axId val="690077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033450"/>
        <c:crosses val="autoZero"/>
        <c:auto val="1"/>
        <c:lblAlgn val="ctr"/>
        <c:lblOffset val="100"/>
        <c:noMultiLvlLbl val="0"/>
      </c:catAx>
      <c:valAx>
        <c:axId val="660334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per oz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0077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Gold Margin % vs Premium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Gold Pricing Waterfall'!$D$56</c:f>
              <c:strCache>
                <c:ptCount val="1"/>
                <c:pt idx="0">
                  <c:v>Margin % per txn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'5. Gold Pricing Waterfall'!$A$57:$A$64</c:f>
              <c:numCache>
                <c:formatCode>0.00%</c:formatCode>
                <c:ptCount val="8"/>
                <c:pt idx="0">
                  <c:v>0.1</c:v>
                </c:pt>
                <c:pt idx="1">
                  <c:v>0.11</c:v>
                </c:pt>
                <c:pt idx="3">
                  <c:v>0.08</c:v>
                </c:pt>
                <c:pt idx="5">
                  <c:v>0.15</c:v>
                </c:pt>
                <c:pt idx="6">
                  <c:v>0.16</c:v>
                </c:pt>
                <c:pt idx="7">
                  <c:v>0.17</c:v>
                </c:pt>
              </c:numCache>
            </c:numRef>
          </c:cat>
          <c:val>
            <c:numRef>
              <c:f>'5. Gold Pricing Waterfall'!$D$57:$D$64</c:f>
              <c:numCache>
                <c:formatCode>0.0%</c:formatCode>
                <c:ptCount val="8"/>
                <c:pt idx="0">
                  <c:v>8.1818181818181929E-2</c:v>
                </c:pt>
                <c:pt idx="1">
                  <c:v>9.0090090090090211E-2</c:v>
                </c:pt>
                <c:pt idx="2">
                  <c:v>-1.0000000000000016E-2</c:v>
                </c:pt>
                <c:pt idx="3">
                  <c:v>6.4814814814814908E-2</c:v>
                </c:pt>
                <c:pt idx="4">
                  <c:v>-1.0000000000000016E-2</c:v>
                </c:pt>
                <c:pt idx="5">
                  <c:v>0.12173913043478247</c:v>
                </c:pt>
                <c:pt idx="6">
                  <c:v>0.1293103448275861</c:v>
                </c:pt>
                <c:pt idx="7">
                  <c:v>0.13675213675213665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33-44D0-A23D-58C329813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4599474"/>
        <c:axId val="32387830"/>
      </c:lineChart>
      <c:catAx>
        <c:axId val="945994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Aurum Premium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387830"/>
        <c:crosses val="autoZero"/>
        <c:auto val="1"/>
        <c:lblAlgn val="ctr"/>
        <c:lblOffset val="100"/>
        <c:noMultiLvlLbl val="0"/>
      </c:catAx>
      <c:valAx>
        <c:axId val="323878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5994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Korean Retail vs Aurum Silver Price ($/oz)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Silver Pricing Waterfall'!$K$41</c:f>
              <c:strCache>
                <c:ptCount val="1"/>
                <c:pt idx="0">
                  <c:v>USD/oz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Silver Pricing Waterfall'!$J$42:$J$43</c:f>
              <c:strCache>
                <c:ptCount val="2"/>
                <c:pt idx="0">
                  <c:v>Aurum Silver</c:v>
                </c:pt>
                <c:pt idx="1">
                  <c:v>Korean Retail</c:v>
                </c:pt>
              </c:strCache>
            </c:strRef>
          </c:cat>
          <c:val>
            <c:numRef>
              <c:f>'6. Silver Pricing Waterfall'!$K$42:$K$43</c:f>
              <c:numCache>
                <c:formatCode>\$#,##0.00;"($"#,##0.00\);\-</c:formatCode>
                <c:ptCount val="2"/>
                <c:pt idx="0">
                  <c:v>90.06</c:v>
                </c:pt>
                <c:pt idx="1">
                  <c:v>102.7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4-4C70-B1ED-5E353E900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39369"/>
        <c:axId val="99186077"/>
      </c:barChart>
      <c:catAx>
        <c:axId val="243393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186077"/>
        <c:crosses val="autoZero"/>
        <c:auto val="1"/>
        <c:lblAlgn val="ctr"/>
        <c:lblOffset val="100"/>
        <c:noMultiLvlLbl val="0"/>
      </c:catAx>
      <c:valAx>
        <c:axId val="991860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per oz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3393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Silver Margin % vs Premium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'6. Silver Pricing Waterfall'!$D$56</c:f>
              <c:strCache>
                <c:ptCount val="1"/>
                <c:pt idx="0">
                  <c:v>Margin % per txn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'6. Silver Pricing Waterfall'!$A$57:$A$64</c:f>
              <c:numCache>
                <c:formatCode>0.00%</c:formatCode>
                <c:ptCount val="8"/>
                <c:pt idx="0">
                  <c:v>0.12</c:v>
                </c:pt>
                <c:pt idx="1">
                  <c:v>0.13</c:v>
                </c:pt>
                <c:pt idx="3">
                  <c:v>0.15</c:v>
                </c:pt>
                <c:pt idx="5">
                  <c:v>0.17</c:v>
                </c:pt>
                <c:pt idx="6">
                  <c:v>0.18</c:v>
                </c:pt>
              </c:numCache>
            </c:numRef>
          </c:cat>
          <c:val>
            <c:numRef>
              <c:f>'6. Silver Pricing Waterfall'!$D$57:$D$64</c:f>
              <c:numCache>
                <c:formatCode>0.0%</c:formatCode>
                <c:ptCount val="8"/>
                <c:pt idx="0">
                  <c:v>9.8214285714285685E-2</c:v>
                </c:pt>
                <c:pt idx="1">
                  <c:v>0.10619469026548661</c:v>
                </c:pt>
                <c:pt idx="2">
                  <c:v>-1.000000000000008E-2</c:v>
                </c:pt>
                <c:pt idx="3">
                  <c:v>0.12173913043478249</c:v>
                </c:pt>
                <c:pt idx="4">
                  <c:v>-1.000000000000008E-2</c:v>
                </c:pt>
                <c:pt idx="5">
                  <c:v>0.13675213675213663</c:v>
                </c:pt>
                <c:pt idx="6">
                  <c:v>0.14406779661016941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D85-43FD-A562-219B021E1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236329"/>
        <c:axId val="28194625"/>
      </c:lineChart>
      <c:catAx>
        <c:axId val="22363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Aurum Premium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194625"/>
        <c:crosses val="autoZero"/>
        <c:auto val="1"/>
        <c:lblAlgn val="ctr"/>
        <c:lblOffset val="100"/>
        <c:noMultiLvlLbl val="0"/>
      </c:catAx>
      <c:valAx>
        <c:axId val="281946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363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Cash Need by Category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'7. Start-up Requirements'!$A$83:$A$89</c:f>
              <c:strCache>
                <c:ptCount val="7"/>
                <c:pt idx="0">
                  <c:v>Legal &amp; Entity</c:v>
                </c:pt>
                <c:pt idx="1">
                  <c:v>Compliance</c:v>
                </c:pt>
                <c:pt idx="2">
                  <c:v>Vault &amp; Vendors</c:v>
                </c:pt>
                <c:pt idx="3">
                  <c:v>Tech Platform</c:v>
                </c:pt>
                <c:pt idx="4">
                  <c:v>Marketing Launch</c:v>
                </c:pt>
                <c:pt idx="5">
                  <c:v>Personnel (6mo)</c:v>
                </c:pt>
                <c:pt idx="6">
                  <c:v>Working Capital</c:v>
                </c:pt>
              </c:strCache>
            </c:strRef>
          </c:cat>
          <c:val>
            <c:numRef>
              <c:f>0</c:f>
              <c:numCache>
                <c:formatCode>\$#,##0</c:formatCode>
                <c:ptCount val="7"/>
                <c:pt idx="0">
                  <c:v>34800</c:v>
                </c:pt>
                <c:pt idx="1">
                  <c:v>118000</c:v>
                </c:pt>
                <c:pt idx="2">
                  <c:v>300200</c:v>
                </c:pt>
                <c:pt idx="3">
                  <c:v>185200</c:v>
                </c:pt>
                <c:pt idx="4">
                  <c:v>324000</c:v>
                </c:pt>
                <c:pt idx="5">
                  <c:v>244200</c:v>
                </c:pt>
                <c:pt idx="6">
                  <c:v>255638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Total $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73C-4FEE-B853-A2747F717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44548"/>
        <c:axId val="43923826"/>
      </c:barChart>
      <c:catAx>
        <c:axId val="1514454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923826"/>
        <c:crosses val="autoZero"/>
        <c:auto val="1"/>
        <c:lblAlgn val="ctr"/>
        <c:lblOffset val="100"/>
        <c:noMultiLvlLbl val="0"/>
      </c:catAx>
      <c:valAx>
        <c:axId val="4392382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1445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Post-Money Ownership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E9A-4B3F-A5B6-32CD13E49D7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DE9A-4B3F-A5B6-32CD13E49D7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DE9A-4B3F-A5B6-32CD13E49D7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DE9A-4B3F-A5B6-32CD13E49D74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DE9A-4B3F-A5B6-32CD13E49D74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DE9A-4B3F-A5B6-32CD13E49D7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E9A-4B3F-A5B6-32CD13E49D7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9A-4B3F-A5B6-32CD13E49D7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9A-4B3F-A5B6-32CD13E49D7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E9A-4B3F-A5B6-32CD13E49D7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E9A-4B3F-A5B6-32CD13E49D74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E9A-4B3F-A5B6-32CD13E49D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0</c:f>
              <c:numCache>
                <c:formatCode>0.0%</c:formatCode>
                <c:ptCount val="6"/>
                <c:pt idx="0">
                  <c:v>0.25718139639862297</c:v>
                </c:pt>
                <c:pt idx="1">
                  <c:v>0.25718139639862297</c:v>
                </c:pt>
                <c:pt idx="2">
                  <c:v>0.25718139639862297</c:v>
                </c:pt>
                <c:pt idx="3">
                  <c:v>8.5727132132874501E-2</c:v>
                </c:pt>
                <c:pt idx="4">
                  <c:v>3.6551E-2</c:v>
                </c:pt>
                <c:pt idx="5">
                  <c:v>0.10617767867125499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Post-Money %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6"/>
                      <c:pt idx="0">
                        <c:v>Thomas K. Jung</c:v>
                      </c:pt>
                      <c:pt idx="1">
                        <c:v>Co-Founder #2</c:v>
                      </c:pt>
                      <c:pt idx="2">
                        <c:v>Co-Founder #3</c:v>
                      </c:pt>
                      <c:pt idx="3">
                        <c:v>ESOP Pool</c:v>
                      </c:pt>
                      <c:pt idx="4">
                        <c:v>SAFE Holders</c:v>
                      </c:pt>
                      <c:pt idx="5">
                        <c:v>New Investors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DE9A-4B3F-A5B6-32CD13E49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 rtl="0"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Balance Sheet Composition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'9. Balance Sheet'!$B$42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'9. Balance Sheet'!$A$44:$A$48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0</c:f>
              <c:numCache>
                <c:formatCode>\$#,##0;[Red]"($"#,##0\)</c:formatCode>
                <c:ptCount val="6"/>
                <c:pt idx="0">
                  <c:v>511714</c:v>
                </c:pt>
                <c:pt idx="1">
                  <c:v>33295347.431600001</c:v>
                </c:pt>
                <c:pt idx="2">
                  <c:v>75541784.458725005</c:v>
                </c:pt>
                <c:pt idx="3">
                  <c:v>118111578.836147</c:v>
                </c:pt>
                <c:pt idx="4">
                  <c:v>172940165.07263699</c:v>
                </c:pt>
                <c:pt idx="5">
                  <c:v>228540404.65076399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C-44C6-B031-4C98F3C6A62C}"/>
            </c:ext>
          </c:extLst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Total Liabilities</c:v>
                </c:pt>
              </c:strCache>
              <c:extLst xmlns:c15="http://schemas.microsoft.com/office/drawing/2012/chart"/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'9. Balance Sheet'!$A$44:$A$48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1</c:f>
              <c:numCache>
                <c:formatCode>\$#,##0;[Red]"($"#,##0\)</c:formatCode>
                <c:ptCount val="6"/>
                <c:pt idx="0">
                  <c:v>219306</c:v>
                </c:pt>
                <c:pt idx="1">
                  <c:v>29586195</c:v>
                </c:pt>
                <c:pt idx="2">
                  <c:v>59141972.5</c:v>
                </c:pt>
                <c:pt idx="3">
                  <c:v>88708534.75</c:v>
                </c:pt>
                <c:pt idx="4">
                  <c:v>124198494.925</c:v>
                </c:pt>
                <c:pt idx="5">
                  <c:v>155285319.82749999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BC-44C6-B031-4C98F3C6A62C}"/>
            </c:ext>
          </c:extLst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Total Equity</c:v>
                </c:pt>
              </c:strCache>
              <c:extLst xmlns:c15="http://schemas.microsoft.com/office/drawing/2012/chart"/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'9. Balance Sheet'!$A$44:$A$48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2</c:f>
              <c:numCache>
                <c:formatCode>\$#,##0;[Red]"($"#,##0\)</c:formatCode>
                <c:ptCount val="6"/>
                <c:pt idx="0">
                  <c:v>292408</c:v>
                </c:pt>
                <c:pt idx="1">
                  <c:v>3782827.4315999998</c:v>
                </c:pt>
                <c:pt idx="2">
                  <c:v>12512744.458725</c:v>
                </c:pt>
                <c:pt idx="3">
                  <c:v>25566018.836146899</c:v>
                </c:pt>
                <c:pt idx="4">
                  <c:v>44946381.072636701</c:v>
                </c:pt>
                <c:pt idx="5">
                  <c:v>69527674.650763705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BC-44C6-B031-4C98F3C6A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972209"/>
        <c:axId val="68694413"/>
      </c:barChart>
      <c:catAx>
        <c:axId val="259722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694413"/>
        <c:crosses val="autoZero"/>
        <c:auto val="1"/>
        <c:lblAlgn val="ctr"/>
        <c:lblOffset val="100"/>
        <c:noMultiLvlLbl val="0"/>
      </c:catAx>
      <c:valAx>
        <c:axId val="686944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($&quot;#,##0\)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9722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Cash Balance &amp; FCF Trajectory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0</c:f>
              <c:numCache>
                <c:formatCode>\$#,##0;[Red]"($"#,##0\)</c:formatCode>
                <c:ptCount val="6"/>
                <c:pt idx="0">
                  <c:v>133714</c:v>
                </c:pt>
                <c:pt idx="1">
                  <c:v>3319750.0899680001</c:v>
                </c:pt>
                <c:pt idx="2">
                  <c:v>15870311.874645</c:v>
                </c:pt>
                <c:pt idx="3">
                  <c:v>28771829.960026901</c:v>
                </c:pt>
                <c:pt idx="4">
                  <c:v>47955418.220456697</c:v>
                </c:pt>
                <c:pt idx="5">
                  <c:v>72368139.666329697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Ending Cash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6"/>
                      <c:pt idx="0">
                        <c:v>Initial</c:v>
                      </c:pt>
                      <c:pt idx="1">
                        <c:v>Y1</c:v>
                      </c:pt>
                      <c:pt idx="2">
                        <c:v>Y2</c:v>
                      </c:pt>
                      <c:pt idx="3">
                        <c:v>Y3</c:v>
                      </c:pt>
                      <c:pt idx="4">
                        <c:v>Y4</c:v>
                      </c:pt>
                      <c:pt idx="5">
                        <c:v>Y5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8E6-42C5-AEAB-E4679F6271B0}"/>
            </c:ext>
          </c:extLst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1</c:f>
              <c:numCache>
                <c:formatCode>\$#,##0;[Red]"($"#,##0\)</c:formatCode>
                <c:ptCount val="6"/>
                <c:pt idx="0">
                  <c:v>-378000</c:v>
                </c:pt>
                <c:pt idx="1">
                  <c:v>3186036.0899680001</c:v>
                </c:pt>
                <c:pt idx="2">
                  <c:v>8550561.7846770007</c:v>
                </c:pt>
                <c:pt idx="3">
                  <c:v>12901518.085381901</c:v>
                </c:pt>
                <c:pt idx="4">
                  <c:v>19183588.2604298</c:v>
                </c:pt>
                <c:pt idx="5">
                  <c:v>24412721.445873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1</c15:sqref>
                        </c15:formulaRef>
                      </c:ext>
                    </c:extLst>
                    <c:strCache>
                      <c:ptCount val="1"/>
                      <c:pt idx="0">
                        <c:v>Free Cash Flow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6"/>
                      <c:pt idx="0">
                        <c:v>Initial</c:v>
                      </c:pt>
                      <c:pt idx="1">
                        <c:v>Y1</c:v>
                      </c:pt>
                      <c:pt idx="2">
                        <c:v>Y2</c:v>
                      </c:pt>
                      <c:pt idx="3">
                        <c:v>Y3</c:v>
                      </c:pt>
                      <c:pt idx="4">
                        <c:v>Y4</c:v>
                      </c:pt>
                      <c:pt idx="5">
                        <c:v>Y5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8E6-42C5-AEAB-E4679F627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5479530"/>
        <c:axId val="4092995"/>
      </c:lineChart>
      <c:catAx>
        <c:axId val="954795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92995"/>
        <c:crosses val="autoZero"/>
        <c:auto val="1"/>
        <c:lblAlgn val="ctr"/>
        <c:lblOffset val="100"/>
        <c:noMultiLvlLbl val="0"/>
      </c:catAx>
      <c:valAx>
        <c:axId val="40929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($&quot;#,##0\)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4795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49</xdr:row>
      <xdr:rowOff>0</xdr:rowOff>
    </xdr:from>
    <xdr:to>
      <xdr:col>16</xdr:col>
      <xdr:colOff>16200</xdr:colOff>
      <xdr:row>66</xdr:row>
      <xdr:rowOff>162000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64</xdr:row>
      <xdr:rowOff>0</xdr:rowOff>
    </xdr:from>
    <xdr:to>
      <xdr:col>16</xdr:col>
      <xdr:colOff>16200</xdr:colOff>
      <xdr:row>81</xdr:row>
      <xdr:rowOff>162000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24</xdr:row>
      <xdr:rowOff>0</xdr:rowOff>
    </xdr:from>
    <xdr:to>
      <xdr:col>17</xdr:col>
      <xdr:colOff>253846</xdr:colOff>
      <xdr:row>41</xdr:row>
      <xdr:rowOff>139170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CDE723-053B-436C-B039-A100B6674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5</xdr:row>
      <xdr:rowOff>0</xdr:rowOff>
    </xdr:from>
    <xdr:to>
      <xdr:col>17</xdr:col>
      <xdr:colOff>253846</xdr:colOff>
      <xdr:row>22</xdr:row>
      <xdr:rowOff>119921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F3EC453-2412-499A-A698-BE707FD76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38</xdr:row>
      <xdr:rowOff>0</xdr:rowOff>
    </xdr:from>
    <xdr:to>
      <xdr:col>12</xdr:col>
      <xdr:colOff>759149</xdr:colOff>
      <xdr:row>55</xdr:row>
      <xdr:rowOff>64800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54</xdr:row>
      <xdr:rowOff>0</xdr:rowOff>
    </xdr:from>
    <xdr:to>
      <xdr:col>12</xdr:col>
      <xdr:colOff>759149</xdr:colOff>
      <xdr:row>72</xdr:row>
      <xdr:rowOff>159840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38</xdr:row>
      <xdr:rowOff>0</xdr:rowOff>
    </xdr:from>
    <xdr:to>
      <xdr:col>14</xdr:col>
      <xdr:colOff>196920</xdr:colOff>
      <xdr:row>55</xdr:row>
      <xdr:rowOff>64800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54</xdr:row>
      <xdr:rowOff>0</xdr:rowOff>
    </xdr:from>
    <xdr:to>
      <xdr:col>14</xdr:col>
      <xdr:colOff>196920</xdr:colOff>
      <xdr:row>72</xdr:row>
      <xdr:rowOff>159840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79</xdr:row>
      <xdr:rowOff>163440</xdr:rowOff>
    </xdr:from>
    <xdr:to>
      <xdr:col>7</xdr:col>
      <xdr:colOff>368280</xdr:colOff>
      <xdr:row>100</xdr:row>
      <xdr:rowOff>130320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47</xdr:row>
      <xdr:rowOff>0</xdr:rowOff>
    </xdr:from>
    <xdr:to>
      <xdr:col>7</xdr:col>
      <xdr:colOff>687030</xdr:colOff>
      <xdr:row>63</xdr:row>
      <xdr:rowOff>127244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A063DF-823E-460D-85C3-74037B5DC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38</xdr:row>
      <xdr:rowOff>100800</xdr:rowOff>
    </xdr:from>
    <xdr:to>
      <xdr:col>10</xdr:col>
      <xdr:colOff>461520</xdr:colOff>
      <xdr:row>57</xdr:row>
      <xdr:rowOff>79200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39</xdr:row>
      <xdr:rowOff>3600</xdr:rowOff>
    </xdr:from>
    <xdr:to>
      <xdr:col>10</xdr:col>
      <xdr:colOff>461520</xdr:colOff>
      <xdr:row>57</xdr:row>
      <xdr:rowOff>172440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showGridLines="0" tabSelected="1" topLeftCell="A31" zoomScale="93" zoomScaleNormal="93" workbookViewId="0">
      <selection activeCell="A20" sqref="A20"/>
    </sheetView>
  </sheetViews>
  <sheetFormatPr defaultColWidth="0" defaultRowHeight="14.6"/>
  <cols>
    <col min="1" max="1" width="42" customWidth="1"/>
    <col min="2" max="3" width="16" customWidth="1"/>
    <col min="4" max="4" width="18" customWidth="1"/>
    <col min="5" max="5" width="12" customWidth="1"/>
    <col min="6" max="6" width="14" customWidth="1"/>
    <col min="7" max="7" width="8.69140625" customWidth="1"/>
    <col min="8" max="8" width="12" customWidth="1"/>
    <col min="9" max="9" width="8.69140625" customWidth="1"/>
    <col min="10" max="14" width="8.69140625" hidden="1" customWidth="1"/>
    <col min="15" max="15" width="14" hidden="1" customWidth="1"/>
    <col min="16" max="16384" width="8.69140625" hidden="1"/>
  </cols>
  <sheetData>
    <row r="1" spans="1:15" ht="27.75" customHeight="1" thickBot="1">
      <c r="A1" s="184" t="s">
        <v>0</v>
      </c>
      <c r="B1" s="184"/>
      <c r="C1" s="184"/>
      <c r="D1" s="184"/>
      <c r="E1" s="184"/>
      <c r="F1" s="184"/>
      <c r="G1" s="185"/>
      <c r="H1" s="4" t="s">
        <v>1</v>
      </c>
      <c r="O1" s="4" t="s">
        <v>1</v>
      </c>
    </row>
    <row r="2" spans="1:15" ht="14.25" customHeight="1">
      <c r="A2" s="195" t="s">
        <v>2</v>
      </c>
      <c r="B2" s="195"/>
      <c r="C2" s="195"/>
      <c r="D2" s="195"/>
      <c r="E2" s="195"/>
      <c r="F2" s="195"/>
    </row>
    <row r="4" spans="1:15" ht="14.25" customHeight="1">
      <c r="A4" s="192" t="s">
        <v>3</v>
      </c>
      <c r="B4" s="192"/>
      <c r="C4" s="192"/>
      <c r="D4" s="192"/>
      <c r="E4" s="192"/>
      <c r="F4" s="192"/>
    </row>
    <row r="5" spans="1:15" ht="14.25" customHeight="1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</row>
    <row r="6" spans="1:15" ht="14.25" customHeight="1">
      <c r="A6" s="193" t="s">
        <v>10</v>
      </c>
      <c r="B6" s="193"/>
      <c r="C6" s="193"/>
      <c r="D6" s="193"/>
      <c r="E6" s="193"/>
      <c r="F6" s="193"/>
    </row>
    <row r="7" spans="1:15" ht="14.25" customHeight="1">
      <c r="A7" s="1" t="s">
        <v>11</v>
      </c>
      <c r="B7" s="6">
        <f>'13. Founders — Aggregate'!G11</f>
        <v>679250</v>
      </c>
      <c r="C7" s="7">
        <v>0</v>
      </c>
      <c r="D7" s="7">
        <f>B7+C7</f>
        <v>679250</v>
      </c>
      <c r="E7" s="8">
        <f>IFERROR(D7/$D$18,0)</f>
        <v>0.21967850794956104</v>
      </c>
      <c r="F7" s="9" t="s">
        <v>12</v>
      </c>
    </row>
    <row r="8" spans="1:15" ht="14.25" customHeight="1">
      <c r="A8" s="1" t="s">
        <v>13</v>
      </c>
      <c r="B8" s="7">
        <v>0</v>
      </c>
      <c r="C8" s="6">
        <f>'16. AGP — Math'!G27+'18. AGP Sign-up — Math'!H12</f>
        <v>2310188.15</v>
      </c>
      <c r="D8" s="7">
        <f>B8+C8</f>
        <v>2310188.15</v>
      </c>
      <c r="E8" s="8">
        <f>IFERROR(D8/$D$18,0)</f>
        <v>0.74714565458190163</v>
      </c>
      <c r="F8" s="9" t="s">
        <v>12</v>
      </c>
    </row>
    <row r="9" spans="1:15" ht="14.25" customHeight="1">
      <c r="A9" s="1" t="s">
        <v>14</v>
      </c>
      <c r="B9" s="6">
        <f>('17. AGP Sign-up — Inputs'!B16*(1-'17. AGP Sign-up — Inputs'!B17))*'4. Pricing Levers'!B27*'4. Pricing Levers'!B28*'4. Pricing Levers'!B12</f>
        <v>8312.5</v>
      </c>
      <c r="C9" s="7">
        <v>0</v>
      </c>
      <c r="D9" s="7">
        <f>B9+C9</f>
        <v>8312.5</v>
      </c>
      <c r="E9" s="8">
        <f>IFERROR(D9/$D$18,0)</f>
        <v>2.6883733490330897E-3</v>
      </c>
      <c r="F9" s="9" t="s">
        <v>12</v>
      </c>
    </row>
    <row r="10" spans="1:15" ht="14.25" customHeight="1">
      <c r="A10" s="10" t="s">
        <v>15</v>
      </c>
      <c r="B10" s="11">
        <f>SUM(B7:B9)</f>
        <v>687562.5</v>
      </c>
      <c r="C10" s="11">
        <f>SUM(C7:C9)</f>
        <v>2310188.15</v>
      </c>
      <c r="D10" s="11">
        <f>B10+C10</f>
        <v>2997750.65</v>
      </c>
      <c r="E10" s="12">
        <f>IFERROR(D10/$D$18,0)</f>
        <v>0.9695125358804958</v>
      </c>
      <c r="F10" s="13"/>
    </row>
    <row r="11" spans="1:15" ht="14.25" customHeight="1">
      <c r="A11" s="193" t="s">
        <v>16</v>
      </c>
      <c r="B11" s="193"/>
      <c r="C11" s="193"/>
      <c r="D11" s="193"/>
      <c r="E11" s="193"/>
      <c r="F11" s="193"/>
    </row>
    <row r="12" spans="1:15" ht="14.25" customHeight="1">
      <c r="A12" s="1" t="s">
        <v>17</v>
      </c>
      <c r="B12" s="6">
        <f>'13. Founders — Aggregate'!C11*'11. Founders — Inputs'!B6*'4. Pricing Levers'!B15</f>
        <v>7120</v>
      </c>
      <c r="C12" s="6">
        <f>'16. AGP — Math'!H27</f>
        <v>51718.8</v>
      </c>
      <c r="D12" s="7">
        <f t="shared" ref="D12:D18" si="0">B12+C12</f>
        <v>58838.8</v>
      </c>
      <c r="E12" s="8">
        <f t="shared" ref="E12:E17" si="1">IFERROR(D12/$D$18,0)</f>
        <v>1.9029252548461734E-2</v>
      </c>
      <c r="F12" s="9" t="s">
        <v>18</v>
      </c>
    </row>
    <row r="13" spans="1:15" ht="14.25" customHeight="1">
      <c r="A13" s="1" t="s">
        <v>19</v>
      </c>
      <c r="B13" s="6">
        <f>'11. Founders — Inputs'!B5*('11. Founders — Inputs'!B6*0.9+'11. Founders — Inputs'!B7*0.1)*0.05*'4. Pricing Levers'!B18</f>
        <v>1500</v>
      </c>
      <c r="C13" s="7">
        <v>0</v>
      </c>
      <c r="D13" s="7">
        <f t="shared" si="0"/>
        <v>1500</v>
      </c>
      <c r="E13" s="8">
        <f t="shared" si="1"/>
        <v>4.8512000283303878E-4</v>
      </c>
      <c r="F13" s="9" t="s">
        <v>12</v>
      </c>
    </row>
    <row r="14" spans="1:15" ht="14.25" customHeight="1">
      <c r="A14" s="1" t="s">
        <v>20</v>
      </c>
      <c r="B14" s="7">
        <v>0</v>
      </c>
      <c r="C14" s="6">
        <f>'16. AGP — Math'!D16*'4. Pricing Levers'!B20*'4. Pricing Levers'!B19*12</f>
        <v>31794</v>
      </c>
      <c r="D14" s="7">
        <f t="shared" si="0"/>
        <v>31794</v>
      </c>
      <c r="E14" s="8">
        <f t="shared" si="1"/>
        <v>1.028260358004909E-2</v>
      </c>
      <c r="F14" s="9" t="s">
        <v>18</v>
      </c>
    </row>
    <row r="15" spans="1:15" ht="14.25" customHeight="1">
      <c r="A15" s="1" t="s">
        <v>21</v>
      </c>
      <c r="B15" s="6">
        <f>'11. Founders — Inputs'!B5*('11. Founders — Inputs'!B6*0.9+'11. Founders — Inputs'!B7*0.1)/2*'4. Pricing Levers'!B21*'4. Pricing Levers'!B22</f>
        <v>480</v>
      </c>
      <c r="C15" s="6">
        <f>'16. AGP — Math'!F27/2*'4. Pricing Levers'!B21*'4. Pricing Levers'!B22</f>
        <v>1655.0016000000001</v>
      </c>
      <c r="D15" s="7">
        <f t="shared" si="0"/>
        <v>2135.0016000000001</v>
      </c>
      <c r="E15" s="8">
        <f t="shared" si="1"/>
        <v>6.9048798816036152E-4</v>
      </c>
      <c r="F15" s="9" t="s">
        <v>18</v>
      </c>
    </row>
    <row r="16" spans="1:15" ht="14.25" customHeight="1">
      <c r="A16" s="1" t="s">
        <v>22</v>
      </c>
      <c r="B16" s="7">
        <v>0</v>
      </c>
      <c r="C16" s="7">
        <v>0</v>
      </c>
      <c r="D16" s="7">
        <f t="shared" si="0"/>
        <v>0</v>
      </c>
      <c r="E16" s="8">
        <f t="shared" si="1"/>
        <v>0</v>
      </c>
      <c r="F16" s="9" t="s">
        <v>12</v>
      </c>
    </row>
    <row r="17" spans="1:6" ht="14.25" customHeight="1">
      <c r="A17" s="10" t="s">
        <v>23</v>
      </c>
      <c r="B17" s="11">
        <f>SUM(B12:B16)</f>
        <v>9100</v>
      </c>
      <c r="C17" s="11">
        <f>SUM(C12:C16)</f>
        <v>85167.801600000006</v>
      </c>
      <c r="D17" s="11">
        <f t="shared" si="0"/>
        <v>94267.801600000006</v>
      </c>
      <c r="E17" s="12">
        <f t="shared" si="1"/>
        <v>3.0487464119504225E-2</v>
      </c>
      <c r="F17" s="13"/>
    </row>
    <row r="18" spans="1:6" ht="15.75" customHeight="1">
      <c r="A18" s="14" t="s">
        <v>24</v>
      </c>
      <c r="B18" s="15">
        <f>B10+B17</f>
        <v>696662.5</v>
      </c>
      <c r="C18" s="15">
        <f>C10+C17</f>
        <v>2395355.9515999998</v>
      </c>
      <c r="D18" s="15">
        <f t="shared" si="0"/>
        <v>3092018.4515999998</v>
      </c>
      <c r="E18" s="16" t="s">
        <v>25</v>
      </c>
      <c r="F18" s="17"/>
    </row>
    <row r="21" spans="1:6" ht="14.25" customHeight="1">
      <c r="A21" s="192" t="s">
        <v>26</v>
      </c>
      <c r="B21" s="192"/>
      <c r="C21" s="192"/>
      <c r="D21" s="192"/>
      <c r="E21" s="192"/>
      <c r="F21" s="192"/>
    </row>
    <row r="22" spans="1:6" ht="14.25" customHeight="1">
      <c r="A22" s="5" t="s">
        <v>27</v>
      </c>
      <c r="B22" s="5" t="s">
        <v>5</v>
      </c>
      <c r="C22" s="5" t="s">
        <v>6</v>
      </c>
      <c r="D22" s="5" t="s">
        <v>7</v>
      </c>
      <c r="E22" s="5" t="s">
        <v>28</v>
      </c>
      <c r="F22" s="5" t="s">
        <v>29</v>
      </c>
    </row>
    <row r="23" spans="1:6" ht="14.25" customHeight="1">
      <c r="A23" s="193" t="s">
        <v>30</v>
      </c>
      <c r="B23" s="193"/>
      <c r="C23" s="193"/>
      <c r="D23" s="193"/>
      <c r="E23" s="193"/>
      <c r="F23" s="193"/>
    </row>
    <row r="24" spans="1:6" ht="14.25" customHeight="1">
      <c r="A24" s="1" t="s">
        <v>31</v>
      </c>
      <c r="B24" s="6">
        <f>'11. Founders — Inputs'!B5*('11. Founders — Inputs'!B6*0.9+'11. Founders — Inputs'!B7*0.1)*'4. Pricing Levers'!B23</f>
        <v>60000</v>
      </c>
      <c r="C24" s="6">
        <f>'16. AGP — Math'!F27*'4. Pricing Levers'!B23</f>
        <v>206875.2</v>
      </c>
      <c r="D24" s="7">
        <f t="shared" ref="D24:D29" si="2">B24+C24</f>
        <v>266875.2</v>
      </c>
      <c r="E24" s="8">
        <f t="shared" ref="E24:E29" si="3">IFERROR(D24/$D$42,0)</f>
        <v>0.50751202814490826</v>
      </c>
      <c r="F24" s="9" t="s">
        <v>32</v>
      </c>
    </row>
    <row r="25" spans="1:6" ht="14.25" customHeight="1">
      <c r="A25" s="1" t="s">
        <v>33</v>
      </c>
      <c r="B25" s="6">
        <f>'13. Founders — Aggregate'!E11</f>
        <v>35204.25</v>
      </c>
      <c r="C25" s="7">
        <v>0</v>
      </c>
      <c r="D25" s="7">
        <f t="shared" si="2"/>
        <v>35204.25</v>
      </c>
      <c r="E25" s="8">
        <f t="shared" si="3"/>
        <v>6.6947323381192358E-2</v>
      </c>
      <c r="F25" s="9" t="s">
        <v>32</v>
      </c>
    </row>
    <row r="26" spans="1:6" ht="14.25" customHeight="1">
      <c r="A26" s="1" t="s">
        <v>34</v>
      </c>
      <c r="B26" s="6">
        <f>'11. Founders — Inputs'!B5*'4. Pricing Levers'!B24</f>
        <v>30000</v>
      </c>
      <c r="C26" s="6">
        <f>'16. AGP — Math'!D16*'4. Pricing Levers'!B24</f>
        <v>56775</v>
      </c>
      <c r="D26" s="7">
        <f t="shared" si="2"/>
        <v>86775</v>
      </c>
      <c r="E26" s="8">
        <f t="shared" si="3"/>
        <v>0.1650185414091471</v>
      </c>
      <c r="F26" s="9" t="s">
        <v>32</v>
      </c>
    </row>
    <row r="27" spans="1:6" ht="14.25" customHeight="1">
      <c r="A27" s="1" t="s">
        <v>35</v>
      </c>
      <c r="B27" s="6">
        <f>'11. Founders — Inputs'!B5*('11. Founders — Inputs'!B6*0.9+'11. Founders — Inputs'!B7*0.1)*'4. Pricing Levers'!B17</f>
        <v>15000</v>
      </c>
      <c r="C27" s="6">
        <f>'16. AGP — Math'!F27*'4. Pricing Levers'!B17</f>
        <v>51718.8</v>
      </c>
      <c r="D27" s="7">
        <f t="shared" si="2"/>
        <v>66718.8</v>
      </c>
      <c r="E27" s="8">
        <f t="shared" si="3"/>
        <v>0.12687800703622706</v>
      </c>
      <c r="F27" s="9" t="s">
        <v>32</v>
      </c>
    </row>
    <row r="28" spans="1:6" ht="14.25" customHeight="1">
      <c r="A28" s="1" t="s">
        <v>36</v>
      </c>
      <c r="B28" s="7">
        <v>0</v>
      </c>
      <c r="C28" s="7">
        <v>0</v>
      </c>
      <c r="D28" s="7">
        <f t="shared" si="2"/>
        <v>0</v>
      </c>
      <c r="E28" s="8">
        <f t="shared" si="3"/>
        <v>0</v>
      </c>
      <c r="F28" s="9" t="s">
        <v>32</v>
      </c>
    </row>
    <row r="29" spans="1:6" ht="14.25" customHeight="1">
      <c r="A29" s="10" t="s">
        <v>37</v>
      </c>
      <c r="B29" s="11">
        <f>SUM(B24:B28)</f>
        <v>140204.25</v>
      </c>
      <c r="C29" s="11">
        <f>SUM(C24:C28)</f>
        <v>315369</v>
      </c>
      <c r="D29" s="11">
        <f t="shared" si="2"/>
        <v>455573.25</v>
      </c>
      <c r="E29" s="12">
        <f t="shared" si="3"/>
        <v>0.86635589997147477</v>
      </c>
      <c r="F29" s="13"/>
    </row>
    <row r="30" spans="1:6" ht="14.25" customHeight="1">
      <c r="A30" s="193" t="s">
        <v>38</v>
      </c>
      <c r="B30" s="193"/>
      <c r="C30" s="193"/>
      <c r="D30" s="193"/>
      <c r="E30" s="193"/>
      <c r="F30" s="193"/>
    </row>
    <row r="31" spans="1:6" ht="14.25" customHeight="1">
      <c r="A31" s="194" t="s">
        <v>39</v>
      </c>
      <c r="B31" s="194"/>
      <c r="C31" s="194"/>
      <c r="D31" s="194"/>
      <c r="E31" s="194"/>
      <c r="F31" s="194"/>
    </row>
    <row r="32" spans="1:6" ht="14.25" customHeight="1">
      <c r="A32" s="1" t="s">
        <v>40</v>
      </c>
      <c r="B32" s="7">
        <v>0</v>
      </c>
      <c r="C32" s="6">
        <f>'18. AGP Sign-up — Math'!E12</f>
        <v>166250</v>
      </c>
      <c r="D32" s="7">
        <f t="shared" ref="D32:D43" si="4">B32+C32</f>
        <v>166250</v>
      </c>
      <c r="E32" s="8">
        <f t="shared" ref="E32:E41" si="5">IFERROR(D32/$D$42,0)</f>
        <v>0.31615479699534088</v>
      </c>
      <c r="F32" s="9" t="s">
        <v>41</v>
      </c>
    </row>
    <row r="33" spans="1:6" ht="14.25" customHeight="1">
      <c r="A33" s="1" t="s">
        <v>42</v>
      </c>
      <c r="B33" s="7">
        <v>0</v>
      </c>
      <c r="C33" s="7">
        <v>0</v>
      </c>
      <c r="D33" s="7">
        <f t="shared" si="4"/>
        <v>0</v>
      </c>
      <c r="E33" s="8">
        <f t="shared" si="5"/>
        <v>0</v>
      </c>
      <c r="F33" s="9" t="s">
        <v>41</v>
      </c>
    </row>
    <row r="34" spans="1:6" ht="14.25" customHeight="1">
      <c r="A34" s="1" t="s">
        <v>43</v>
      </c>
      <c r="B34" s="7">
        <v>0</v>
      </c>
      <c r="C34" s="6">
        <f>'15. AGP — Inputs'!B27*12</f>
        <v>120000</v>
      </c>
      <c r="D34" s="7">
        <f t="shared" si="4"/>
        <v>120000</v>
      </c>
      <c r="E34" s="8">
        <f t="shared" si="5"/>
        <v>0.22820195873347912</v>
      </c>
      <c r="F34" s="9" t="s">
        <v>41</v>
      </c>
    </row>
    <row r="35" spans="1:6" ht="14.25" customHeight="1">
      <c r="A35" s="1" t="s">
        <v>44</v>
      </c>
      <c r="B35" s="7">
        <v>0</v>
      </c>
      <c r="C35" s="6">
        <f>'17. AGP Sign-up — Inputs'!B19</f>
        <v>50000</v>
      </c>
      <c r="D35" s="7">
        <f t="shared" si="4"/>
        <v>50000</v>
      </c>
      <c r="E35" s="8">
        <f t="shared" si="5"/>
        <v>9.5084149472282969E-2</v>
      </c>
      <c r="F35" s="9" t="s">
        <v>41</v>
      </c>
    </row>
    <row r="36" spans="1:6" ht="14.25" customHeight="1">
      <c r="A36" s="10" t="s">
        <v>45</v>
      </c>
      <c r="B36" s="11">
        <f>SUM(B32:B35)</f>
        <v>0</v>
      </c>
      <c r="C36" s="11">
        <f>SUM(C32:C35)</f>
        <v>336250</v>
      </c>
      <c r="D36" s="11">
        <f t="shared" si="4"/>
        <v>336250</v>
      </c>
      <c r="E36" s="12">
        <f t="shared" si="5"/>
        <v>0.63944090520110297</v>
      </c>
      <c r="F36" s="13"/>
    </row>
    <row r="37" spans="1:6" ht="14.25" customHeight="1">
      <c r="A37" s="1" t="s">
        <v>46</v>
      </c>
      <c r="B37" s="6">
        <f>'4. Pricing Levers'!B34*12*0.5</f>
        <v>30000</v>
      </c>
      <c r="C37" s="6">
        <f>'4. Pricing Levers'!B34*12*0.5</f>
        <v>30000</v>
      </c>
      <c r="D37" s="7">
        <f t="shared" si="4"/>
        <v>60000</v>
      </c>
      <c r="E37" s="8">
        <f t="shared" si="5"/>
        <v>0.11410097936673956</v>
      </c>
      <c r="F37" s="9" t="s">
        <v>41</v>
      </c>
    </row>
    <row r="38" spans="1:6" ht="14.25" customHeight="1">
      <c r="A38" s="1" t="s">
        <v>47</v>
      </c>
      <c r="B38" s="6">
        <f>'4. Pricing Levers'!B31*12*0.5</f>
        <v>16800</v>
      </c>
      <c r="C38" s="6">
        <f>'4. Pricing Levers'!B31*12*0.5</f>
        <v>16800</v>
      </c>
      <c r="D38" s="7">
        <f t="shared" si="4"/>
        <v>33600</v>
      </c>
      <c r="E38" s="8">
        <f t="shared" si="5"/>
        <v>6.3896548445374152E-2</v>
      </c>
      <c r="F38" s="9" t="s">
        <v>41</v>
      </c>
    </row>
    <row r="39" spans="1:6" ht="14.25" customHeight="1">
      <c r="A39" s="1" t="s">
        <v>48</v>
      </c>
      <c r="B39" s="6">
        <f>'4. Pricing Levers'!B32*12*0.5</f>
        <v>9000</v>
      </c>
      <c r="C39" s="6">
        <f>'4. Pricing Levers'!B32*12*0.5</f>
        <v>9000</v>
      </c>
      <c r="D39" s="7">
        <f t="shared" si="4"/>
        <v>18000</v>
      </c>
      <c r="E39" s="8">
        <f t="shared" si="5"/>
        <v>3.4230293810021871E-2</v>
      </c>
      <c r="F39" s="9" t="s">
        <v>41</v>
      </c>
    </row>
    <row r="40" spans="1:6" ht="14.25" customHeight="1">
      <c r="A40" s="1" t="s">
        <v>49</v>
      </c>
      <c r="B40" s="6">
        <f>'4. Pricing Levers'!B33*12*0.5</f>
        <v>39000</v>
      </c>
      <c r="C40" s="6">
        <f>'4. Pricing Levers'!B33*12*0.5</f>
        <v>39000</v>
      </c>
      <c r="D40" s="7">
        <f t="shared" si="4"/>
        <v>78000</v>
      </c>
      <c r="E40" s="8">
        <f t="shared" si="5"/>
        <v>0.14833127317676142</v>
      </c>
      <c r="F40" s="9" t="s">
        <v>41</v>
      </c>
    </row>
    <row r="41" spans="1:6" ht="14.25" customHeight="1">
      <c r="A41" s="1" t="s">
        <v>50</v>
      </c>
      <c r="B41" s="7">
        <v>0</v>
      </c>
      <c r="C41" s="7">
        <v>0</v>
      </c>
      <c r="D41" s="7">
        <f t="shared" si="4"/>
        <v>0</v>
      </c>
      <c r="E41" s="8">
        <f t="shared" si="5"/>
        <v>0</v>
      </c>
      <c r="F41" s="9" t="s">
        <v>41</v>
      </c>
    </row>
    <row r="42" spans="1:6" ht="14.25" customHeight="1">
      <c r="A42" s="10" t="s">
        <v>51</v>
      </c>
      <c r="B42" s="11">
        <f>B36+SUM(B37:B41)</f>
        <v>94800</v>
      </c>
      <c r="C42" s="11">
        <f>C36+SUM(C37:C41)</f>
        <v>431050</v>
      </c>
      <c r="D42" s="11">
        <f t="shared" si="4"/>
        <v>525850</v>
      </c>
      <c r="E42" s="12">
        <f>IFERROR(D42/$D$43,0)</f>
        <v>0.53580348743521211</v>
      </c>
      <c r="F42" s="13"/>
    </row>
    <row r="43" spans="1:6" ht="14.25" customHeight="1">
      <c r="A43" s="18" t="s">
        <v>52</v>
      </c>
      <c r="B43" s="19">
        <f>B29+B42</f>
        <v>235004.25</v>
      </c>
      <c r="C43" s="19">
        <f>C29+C42</f>
        <v>746419</v>
      </c>
      <c r="D43" s="19">
        <f t="shared" si="4"/>
        <v>981423.25</v>
      </c>
      <c r="E43" s="20" t="s">
        <v>25</v>
      </c>
      <c r="F43" s="21"/>
    </row>
    <row r="46" spans="1:6" ht="14.25" customHeight="1">
      <c r="A46" s="192" t="s">
        <v>53</v>
      </c>
      <c r="B46" s="192"/>
      <c r="C46" s="192"/>
      <c r="D46" s="192"/>
      <c r="E46" s="192"/>
      <c r="F46" s="192"/>
    </row>
    <row r="47" spans="1:6" ht="14.25" customHeight="1">
      <c r="A47" s="5" t="s">
        <v>54</v>
      </c>
      <c r="B47" s="5" t="s">
        <v>5</v>
      </c>
      <c r="C47" s="5" t="s">
        <v>6</v>
      </c>
      <c r="D47" s="5" t="s">
        <v>55</v>
      </c>
      <c r="E47" s="5" t="s">
        <v>56</v>
      </c>
      <c r="F47" s="5" t="s">
        <v>57</v>
      </c>
    </row>
    <row r="48" spans="1:6" ht="14.25" customHeight="1">
      <c r="A48" s="1" t="s">
        <v>58</v>
      </c>
      <c r="B48" s="7">
        <f>B18</f>
        <v>696662.5</v>
      </c>
      <c r="C48" s="7">
        <f>C18</f>
        <v>2395355.9515999998</v>
      </c>
      <c r="D48" s="7">
        <f>D18</f>
        <v>3092018.4515999998</v>
      </c>
      <c r="E48" s="8">
        <f>IFERROR(B48/D48+C48/D48,0)/2</f>
        <v>0.5</v>
      </c>
      <c r="F48" s="22"/>
    </row>
    <row r="49" spans="1:6" ht="14.25" customHeight="1">
      <c r="A49" s="1" t="s">
        <v>59</v>
      </c>
      <c r="B49" s="7">
        <f>B29</f>
        <v>140204.25</v>
      </c>
      <c r="C49" s="7">
        <f>C29</f>
        <v>315369</v>
      </c>
      <c r="D49" s="7">
        <f>D29</f>
        <v>455573.25</v>
      </c>
      <c r="E49" s="8">
        <f>IFERROR(B49/D49+C49/D49,0)/2</f>
        <v>0.5</v>
      </c>
      <c r="F49" s="22"/>
    </row>
    <row r="50" spans="1:6" ht="15.75" customHeight="1">
      <c r="A50" s="14" t="s">
        <v>60</v>
      </c>
      <c r="B50" s="23">
        <f>B48-B49</f>
        <v>556458.25</v>
      </c>
      <c r="C50" s="23">
        <f>C48-C49</f>
        <v>2079986.9515999998</v>
      </c>
      <c r="D50" s="23">
        <f>D48-D49</f>
        <v>2636445.2015999998</v>
      </c>
      <c r="E50" s="8">
        <f>IFERROR(B50/D50+C50/D50,0)/2</f>
        <v>0.5</v>
      </c>
      <c r="F50" s="22"/>
    </row>
    <row r="51" spans="1:6" ht="14.25" customHeight="1">
      <c r="A51" s="1" t="s">
        <v>61</v>
      </c>
      <c r="B51" s="8">
        <f>IFERROR(B50/B48,0)</f>
        <v>0.79874867672653549</v>
      </c>
      <c r="C51" s="8">
        <f>IFERROR(C50/C48,0)</f>
        <v>0.86834148812440737</v>
      </c>
      <c r="D51" s="8">
        <f>IFERROR(D50/D48,0)</f>
        <v>0.85266153577956227</v>
      </c>
      <c r="E51" s="24" t="s">
        <v>62</v>
      </c>
      <c r="F51" s="22"/>
    </row>
    <row r="52" spans="1:6" ht="14.25" customHeight="1">
      <c r="A52" s="1" t="s">
        <v>63</v>
      </c>
      <c r="B52" s="7">
        <f>B42</f>
        <v>94800</v>
      </c>
      <c r="C52" s="7">
        <f>C42</f>
        <v>431050</v>
      </c>
      <c r="D52" s="7">
        <f>D42</f>
        <v>525850</v>
      </c>
      <c r="E52" s="8">
        <f>IFERROR(B52/D52+C52/D52,0)/2</f>
        <v>0.5</v>
      </c>
      <c r="F52" s="22"/>
    </row>
    <row r="53" spans="1:6" ht="14.25" customHeight="1">
      <c r="A53" s="25" t="s">
        <v>64</v>
      </c>
      <c r="B53" s="26">
        <f>B50-B52</f>
        <v>461658.25</v>
      </c>
      <c r="C53" s="26">
        <f>C50-C52</f>
        <v>1648936.9515999998</v>
      </c>
      <c r="D53" s="26">
        <f>D50-D52</f>
        <v>2110595.2015999998</v>
      </c>
      <c r="E53" s="8">
        <f>IFERROR(B53/D53+C53/D53,0)/2</f>
        <v>0.5</v>
      </c>
      <c r="F53" s="22"/>
    </row>
    <row r="56" spans="1:6" ht="14.25" customHeight="1">
      <c r="A56" s="192" t="s">
        <v>65</v>
      </c>
      <c r="B56" s="192"/>
      <c r="C56" s="192"/>
      <c r="D56" s="192"/>
      <c r="E56" s="192"/>
      <c r="F56" s="192"/>
    </row>
    <row r="57" spans="1:6" ht="15.75" customHeight="1">
      <c r="A57" s="191" t="s">
        <v>66</v>
      </c>
      <c r="B57" s="191"/>
      <c r="C57" s="191"/>
      <c r="D57" s="191"/>
      <c r="E57" s="27">
        <f>'11. Founders — Inputs'!B5</f>
        <v>2000</v>
      </c>
      <c r="F57" s="22"/>
    </row>
    <row r="58" spans="1:6" ht="15.75" customHeight="1">
      <c r="A58" s="191" t="s">
        <v>67</v>
      </c>
      <c r="B58" s="191"/>
      <c r="C58" s="191"/>
      <c r="D58" s="191"/>
      <c r="E58" s="27">
        <f>'16. AGP — Math'!D16</f>
        <v>3785</v>
      </c>
      <c r="F58" s="22"/>
    </row>
    <row r="59" spans="1:6" ht="15.75" customHeight="1">
      <c r="A59" s="191" t="s">
        <v>68</v>
      </c>
      <c r="B59" s="191"/>
      <c r="C59" s="191"/>
      <c r="D59" s="191"/>
      <c r="E59" s="27">
        <f>'13. Founders — Aggregate'!C11</f>
        <v>712</v>
      </c>
      <c r="F59" s="22"/>
    </row>
    <row r="60" spans="1:6" ht="15.75" customHeight="1">
      <c r="A60" s="191" t="s">
        <v>69</v>
      </c>
      <c r="B60" s="191"/>
      <c r="C60" s="191"/>
      <c r="D60" s="191"/>
      <c r="E60" s="27">
        <f>'18. AGP Sign-up — Math'!C12</f>
        <v>2500</v>
      </c>
      <c r="F60" s="22"/>
    </row>
    <row r="61" spans="1:6" ht="15.75" customHeight="1">
      <c r="A61" s="191" t="s">
        <v>70</v>
      </c>
      <c r="B61" s="191"/>
      <c r="C61" s="191"/>
      <c r="D61" s="191"/>
      <c r="E61" s="27">
        <f>'18. AGP Sign-up — Math'!C18</f>
        <v>1625</v>
      </c>
      <c r="F61" s="22"/>
    </row>
  </sheetData>
  <mergeCells count="15">
    <mergeCell ref="A2:F2"/>
    <mergeCell ref="A4:F4"/>
    <mergeCell ref="A6:F6"/>
    <mergeCell ref="A11:F11"/>
    <mergeCell ref="A21:F21"/>
    <mergeCell ref="A23:F23"/>
    <mergeCell ref="A30:F30"/>
    <mergeCell ref="A31:F31"/>
    <mergeCell ref="A46:F46"/>
    <mergeCell ref="A61:D61"/>
    <mergeCell ref="A56:F56"/>
    <mergeCell ref="A57:D57"/>
    <mergeCell ref="A58:D58"/>
    <mergeCell ref="A59:D59"/>
    <mergeCell ref="A60:D60"/>
  </mergeCells>
  <hyperlinks>
    <hyperlink ref="H1" location="'2. Summary'!A1" display="→ Summary" xr:uid="{00000000-0004-0000-0000-000000000000}"/>
    <hyperlink ref="O1" location="'2. Summary'!A1" display="→ Summary" xr:uid="{00000000-0004-0000-0000-00000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1"/>
  <sheetViews>
    <sheetView showGridLines="0" topLeftCell="A12" zoomScale="93" zoomScaleNormal="93" workbookViewId="0">
      <selection activeCell="A13" sqref="A13:C13"/>
    </sheetView>
  </sheetViews>
  <sheetFormatPr defaultColWidth="0" defaultRowHeight="14.6"/>
  <cols>
    <col min="1" max="1" width="14.765625" customWidth="1"/>
    <col min="2" max="2" width="36" customWidth="1"/>
    <col min="3" max="3" width="18" customWidth="1"/>
    <col min="4" max="6" width="14" customWidth="1"/>
    <col min="7" max="9" width="12" customWidth="1"/>
    <col min="10" max="15" width="8.69140625" hidden="1" customWidth="1"/>
    <col min="16" max="16" width="14" hidden="1" customWidth="1"/>
    <col min="17" max="16384" width="8.69140625" hidden="1"/>
  </cols>
  <sheetData>
    <row r="1" spans="1:16" ht="31.5" customHeight="1" thickBot="1">
      <c r="A1" s="184" t="s">
        <v>71</v>
      </c>
      <c r="B1" s="184"/>
      <c r="C1" s="184"/>
      <c r="D1" s="184"/>
      <c r="E1" s="184"/>
      <c r="F1" s="184"/>
      <c r="G1" s="184"/>
      <c r="H1" s="184"/>
      <c r="I1" s="4" t="s">
        <v>72</v>
      </c>
      <c r="P1" s="4" t="s">
        <v>72</v>
      </c>
    </row>
    <row r="2" spans="1:16" ht="14.25" customHeight="1">
      <c r="A2" s="190" t="s">
        <v>73</v>
      </c>
      <c r="B2" s="190"/>
      <c r="C2" s="190"/>
      <c r="D2" s="190"/>
      <c r="E2" s="190"/>
      <c r="F2" s="190"/>
      <c r="G2" s="190"/>
      <c r="H2" s="190"/>
    </row>
    <row r="3" spans="1:16" ht="14.25" customHeight="1">
      <c r="A3" s="28"/>
      <c r="B3" s="28"/>
      <c r="C3" s="28"/>
      <c r="D3" s="28"/>
      <c r="E3" s="28"/>
      <c r="F3" s="28"/>
      <c r="G3" s="28"/>
      <c r="H3" s="28"/>
    </row>
    <row r="4" spans="1:16" ht="15" customHeight="1">
      <c r="A4" s="197" t="s">
        <v>74</v>
      </c>
      <c r="B4" s="197"/>
      <c r="C4" s="197"/>
      <c r="D4" s="197"/>
      <c r="E4" s="197"/>
      <c r="F4" s="197"/>
      <c r="G4" s="197"/>
      <c r="H4" s="197"/>
    </row>
    <row r="5" spans="1:16" ht="21.75" customHeight="1">
      <c r="A5" s="210" t="s">
        <v>75</v>
      </c>
      <c r="B5" s="210"/>
      <c r="C5" s="210" t="s">
        <v>76</v>
      </c>
      <c r="D5" s="210"/>
      <c r="E5" s="210" t="s">
        <v>77</v>
      </c>
      <c r="F5" s="210"/>
      <c r="G5" s="210" t="s">
        <v>78</v>
      </c>
      <c r="H5" s="210"/>
    </row>
    <row r="6" spans="1:16" ht="31.5" customHeight="1">
      <c r="A6" s="212">
        <f>'1. P&amp;L Summary'!D18</f>
        <v>3092018.4515999998</v>
      </c>
      <c r="B6" s="212"/>
      <c r="C6" s="212">
        <f>'3. 5-Year Forecast'!F19</f>
        <v>21173518.521074999</v>
      </c>
      <c r="D6" s="212"/>
      <c r="E6" s="212">
        <f>'1. P&amp;L Summary'!D53</f>
        <v>2110595.2015999998</v>
      </c>
      <c r="F6" s="212"/>
      <c r="G6" s="212">
        <f>'3. 5-Year Forecast'!F29</f>
        <v>15761989.739936605</v>
      </c>
      <c r="H6" s="212"/>
    </row>
    <row r="7" spans="1:16" ht="21.75" customHeight="1">
      <c r="A7" s="210" t="s">
        <v>79</v>
      </c>
      <c r="B7" s="210"/>
      <c r="C7" s="210" t="s">
        <v>80</v>
      </c>
      <c r="D7" s="210"/>
      <c r="E7" s="210" t="s">
        <v>81</v>
      </c>
      <c r="F7" s="210"/>
      <c r="G7" s="210" t="s">
        <v>82</v>
      </c>
      <c r="H7" s="210"/>
    </row>
    <row r="8" spans="1:16" ht="31.5" customHeight="1">
      <c r="A8" s="211">
        <f>'3. 5-Year Forecast'!F23</f>
        <v>0.85235843192396921</v>
      </c>
      <c r="B8" s="211"/>
      <c r="C8" s="212">
        <f>'3. 5-Year Forecast'!F31</f>
        <v>44429259.040341094</v>
      </c>
      <c r="D8" s="212"/>
      <c r="E8" s="212">
        <f>'7. Start-up Requirements'!E69</f>
        <v>1462038</v>
      </c>
      <c r="F8" s="212"/>
      <c r="G8" s="212">
        <f>'8. Equity Structure'!B9</f>
        <v>20365509.5</v>
      </c>
      <c r="H8" s="212"/>
    </row>
    <row r="9" spans="1:16" ht="14.25" customHeight="1">
      <c r="A9" s="28"/>
      <c r="B9" s="28"/>
      <c r="C9" s="28"/>
      <c r="D9" s="29"/>
      <c r="E9" s="28"/>
      <c r="F9" s="28"/>
      <c r="G9" s="28"/>
      <c r="H9" s="28"/>
    </row>
    <row r="10" spans="1:16" ht="15" customHeight="1">
      <c r="A10" s="197" t="s">
        <v>83</v>
      </c>
      <c r="B10" s="197"/>
      <c r="C10" s="197"/>
      <c r="D10" s="197"/>
      <c r="E10" s="197"/>
      <c r="F10" s="197"/>
      <c r="G10" s="197"/>
      <c r="H10" s="197"/>
    </row>
    <row r="11" spans="1:16" ht="14.25" customHeight="1">
      <c r="A11" s="200" t="s">
        <v>84</v>
      </c>
      <c r="B11" s="200"/>
      <c r="C11" s="200"/>
      <c r="D11" s="209">
        <f>'11. Founders — Inputs'!B5+'16. AGP — Math'!D16</f>
        <v>5785</v>
      </c>
      <c r="E11" s="209"/>
      <c r="F11" s="208" t="s">
        <v>85</v>
      </c>
      <c r="G11" s="208"/>
      <c r="H11" s="208"/>
    </row>
    <row r="12" spans="1:16" ht="14.25" customHeight="1">
      <c r="A12" s="200" t="s">
        <v>86</v>
      </c>
      <c r="B12" s="200"/>
      <c r="C12" s="200"/>
      <c r="D12" s="209">
        <f>'13. Founders — Aggregate'!C11</f>
        <v>712</v>
      </c>
      <c r="E12" s="209"/>
      <c r="F12" s="208" t="s">
        <v>87</v>
      </c>
      <c r="G12" s="208"/>
      <c r="H12" s="208"/>
    </row>
    <row r="13" spans="1:16" ht="14.25" customHeight="1">
      <c r="A13" s="200" t="s">
        <v>88</v>
      </c>
      <c r="B13" s="200"/>
      <c r="C13" s="200"/>
      <c r="D13" s="209">
        <f>'16. AGP — Math'!D16</f>
        <v>3785</v>
      </c>
      <c r="E13" s="209"/>
      <c r="F13" s="208" t="s">
        <v>89</v>
      </c>
      <c r="G13" s="208"/>
      <c r="H13" s="208"/>
    </row>
    <row r="14" spans="1:16" ht="14.25" customHeight="1">
      <c r="A14" s="200" t="s">
        <v>90</v>
      </c>
      <c r="B14" s="200"/>
      <c r="C14" s="200"/>
      <c r="D14" s="201">
        <f>SUMPRODUCT('11. Founders — Inputs'!C14:C18,'13. Founders — Aggregate'!C5:C9)+'16. AGP — Math'!F27+'18. AGP Sign-up — Math'!G12+('17. AGP Sign-up — Inputs'!B16*(1-'17. AGP Sign-up — Inputs'!B17))*'4. Pricing Levers'!B27*'4. Pricing Levers'!B28</f>
        <v>31555270</v>
      </c>
      <c r="E14" s="201"/>
      <c r="F14" s="208" t="s">
        <v>91</v>
      </c>
      <c r="G14" s="208"/>
      <c r="H14" s="208"/>
    </row>
    <row r="15" spans="1:16" ht="14.25" customHeight="1">
      <c r="A15" s="200" t="s">
        <v>92</v>
      </c>
      <c r="B15" s="200"/>
      <c r="C15" s="200"/>
      <c r="D15" s="202">
        <f>'1. P&amp;L Summary'!D18/(SUMPRODUCT('11. Founders — Inputs'!C14:C18,'13. Founders — Aggregate'!C5:C9)+'16. AGP — Math'!F27+'18. AGP Sign-up — Math'!G12+('17. AGP Sign-up — Inputs'!B16*(1-'17. AGP Sign-up — Inputs'!B17))*'4. Pricing Levers'!B27*'4. Pricing Levers'!B28)</f>
        <v>9.7987386943607188E-2</v>
      </c>
      <c r="E15" s="202"/>
      <c r="F15" s="208" t="s">
        <v>93</v>
      </c>
      <c r="G15" s="208"/>
      <c r="H15" s="208"/>
    </row>
    <row r="16" spans="1:16" ht="14.25" customHeight="1">
      <c r="A16" s="28"/>
      <c r="B16" s="28"/>
      <c r="C16" s="28"/>
      <c r="D16" s="29"/>
      <c r="E16" s="28"/>
      <c r="F16" s="28"/>
      <c r="G16" s="28"/>
      <c r="H16" s="28"/>
    </row>
    <row r="17" spans="1:8" ht="15" customHeight="1">
      <c r="A17" s="197" t="s">
        <v>94</v>
      </c>
      <c r="B17" s="197"/>
      <c r="C17" s="197"/>
      <c r="D17" s="197"/>
      <c r="E17" s="197"/>
      <c r="F17" s="197"/>
      <c r="G17" s="197"/>
      <c r="H17" s="197"/>
    </row>
    <row r="18" spans="1:8" ht="14.25" customHeight="1">
      <c r="A18" s="200" t="s">
        <v>95</v>
      </c>
      <c r="B18" s="200"/>
      <c r="C18" s="200"/>
      <c r="D18" s="201">
        <f>'1. P&amp;L Summary'!D7</f>
        <v>679250</v>
      </c>
      <c r="E18" s="201"/>
      <c r="F18" s="35">
        <f>C18/'1. P&amp;L Summary'!D18</f>
        <v>0</v>
      </c>
      <c r="G18" s="28"/>
      <c r="H18" s="28"/>
    </row>
    <row r="19" spans="1:8" ht="14.25" customHeight="1">
      <c r="A19" s="200" t="s">
        <v>96</v>
      </c>
      <c r="B19" s="200"/>
      <c r="C19" s="200"/>
      <c r="D19" s="201">
        <f>'1. P&amp;L Summary'!D8</f>
        <v>2310188.15</v>
      </c>
      <c r="E19" s="201"/>
      <c r="F19" s="35">
        <f>C19/'1. P&amp;L Summary'!D18</f>
        <v>0</v>
      </c>
      <c r="G19" s="28"/>
      <c r="H19" s="28"/>
    </row>
    <row r="20" spans="1:8" ht="14.25" customHeight="1">
      <c r="A20" s="200" t="s">
        <v>97</v>
      </c>
      <c r="B20" s="200"/>
      <c r="C20" s="200"/>
      <c r="D20" s="201">
        <f>'1. P&amp;L Summary'!D9</f>
        <v>8312.5</v>
      </c>
      <c r="E20" s="201"/>
      <c r="F20" s="35">
        <f>C20/'1. P&amp;L Summary'!D18</f>
        <v>0</v>
      </c>
      <c r="G20" s="28"/>
      <c r="H20" s="28"/>
    </row>
    <row r="21" spans="1:8" ht="14.25" customHeight="1">
      <c r="A21" s="200" t="s">
        <v>98</v>
      </c>
      <c r="B21" s="200"/>
      <c r="C21" s="200"/>
      <c r="D21" s="201">
        <f>'1. P&amp;L Summary'!D12</f>
        <v>58838.8</v>
      </c>
      <c r="E21" s="201"/>
      <c r="F21" s="35">
        <f>C21/'1. P&amp;L Summary'!D18</f>
        <v>0</v>
      </c>
      <c r="G21" s="28"/>
      <c r="H21" s="28"/>
    </row>
    <row r="22" spans="1:8" ht="14.25" customHeight="1">
      <c r="A22" s="200" t="s">
        <v>99</v>
      </c>
      <c r="B22" s="200"/>
      <c r="C22" s="200"/>
      <c r="D22" s="201">
        <f>'1. P&amp;L Summary'!D13</f>
        <v>1500</v>
      </c>
      <c r="E22" s="201"/>
      <c r="F22" s="35">
        <f>C22/'1. P&amp;L Summary'!D18</f>
        <v>0</v>
      </c>
      <c r="G22" s="28"/>
      <c r="H22" s="28"/>
    </row>
    <row r="23" spans="1:8" ht="14.25" customHeight="1">
      <c r="A23" s="200" t="s">
        <v>100</v>
      </c>
      <c r="B23" s="200"/>
      <c r="C23" s="200"/>
      <c r="D23" s="201">
        <f>'1. P&amp;L Summary'!D14</f>
        <v>31794</v>
      </c>
      <c r="E23" s="201"/>
      <c r="F23" s="35">
        <f>C23/'1. P&amp;L Summary'!D18</f>
        <v>0</v>
      </c>
      <c r="G23" s="28"/>
      <c r="H23" s="28"/>
    </row>
    <row r="24" spans="1:8" ht="14.25" customHeight="1">
      <c r="A24" s="200" t="s">
        <v>101</v>
      </c>
      <c r="B24" s="200"/>
      <c r="C24" s="200"/>
      <c r="D24" s="201">
        <f>'1. P&amp;L Summary'!D15</f>
        <v>2135.0016000000001</v>
      </c>
      <c r="E24" s="201"/>
      <c r="F24" s="35">
        <f>C24/'1. P&amp;L Summary'!D18</f>
        <v>0</v>
      </c>
      <c r="G24" s="28"/>
      <c r="H24" s="28"/>
    </row>
    <row r="25" spans="1:8" ht="15" customHeight="1">
      <c r="A25" s="206" t="s">
        <v>102</v>
      </c>
      <c r="B25" s="206"/>
      <c r="C25" s="206"/>
      <c r="D25" s="207">
        <f>'1. P&amp;L Summary'!D18</f>
        <v>3092018.4515999998</v>
      </c>
      <c r="E25" s="207"/>
      <c r="F25" s="38">
        <v>1</v>
      </c>
      <c r="G25" s="28"/>
      <c r="H25" s="28"/>
    </row>
    <row r="26" spans="1:8" ht="14.25" customHeight="1">
      <c r="A26" s="28"/>
      <c r="B26" s="28"/>
      <c r="C26" s="28"/>
      <c r="D26" s="28"/>
      <c r="E26" s="28"/>
      <c r="F26" s="28"/>
      <c r="G26" s="28"/>
      <c r="H26" s="28"/>
    </row>
    <row r="27" spans="1:8" ht="15" customHeight="1">
      <c r="A27" s="197" t="s">
        <v>103</v>
      </c>
      <c r="B27" s="197"/>
      <c r="C27" s="197"/>
      <c r="D27" s="197"/>
      <c r="E27" s="197"/>
      <c r="F27" s="197"/>
      <c r="G27" s="197"/>
      <c r="H27" s="197"/>
    </row>
    <row r="28" spans="1:8" ht="14.25" customHeight="1">
      <c r="A28" s="39" t="s">
        <v>104</v>
      </c>
      <c r="B28" s="39" t="s">
        <v>105</v>
      </c>
      <c r="C28" s="39" t="s">
        <v>106</v>
      </c>
      <c r="D28" s="39" t="s">
        <v>107</v>
      </c>
      <c r="E28" s="39" t="s">
        <v>108</v>
      </c>
      <c r="F28" s="39" t="s">
        <v>109</v>
      </c>
      <c r="G28" s="39" t="s">
        <v>110</v>
      </c>
      <c r="H28" s="39" t="s">
        <v>111</v>
      </c>
    </row>
    <row r="29" spans="1:8" ht="14.25" customHeight="1">
      <c r="A29" s="40" t="s">
        <v>112</v>
      </c>
      <c r="B29" s="41">
        <f>'3. 5-Year Forecast'!B19</f>
        <v>3092018.4515999998</v>
      </c>
      <c r="C29" s="41">
        <f>'3. 5-Year Forecast'!C19</f>
        <v>7381714.8789999997</v>
      </c>
      <c r="D29" s="41">
        <f>'3. 5-Year Forecast'!D19</f>
        <v>11072572.318499999</v>
      </c>
      <c r="E29" s="41">
        <f>'3. 5-Year Forecast'!E19</f>
        <v>16399859.72775</v>
      </c>
      <c r="F29" s="41">
        <f>'3. 5-Year Forecast'!F19</f>
        <v>21173518.521074999</v>
      </c>
      <c r="G29" s="41">
        <f>'3. 5-Year Forecast'!G19</f>
        <v>59119683.897924989</v>
      </c>
      <c r="H29" s="41">
        <f>'3. 5-Year Forecast'!H19</f>
        <v>0.61766183359084148</v>
      </c>
    </row>
    <row r="30" spans="1:8" ht="14.25" customHeight="1">
      <c r="A30" s="30" t="s">
        <v>59</v>
      </c>
      <c r="B30" s="42">
        <f>'3. 5-Year Forecast'!B21</f>
        <v>455573.25</v>
      </c>
      <c r="C30" s="42">
        <f>'3. 5-Year Forecast'!C21</f>
        <v>973787.82187499991</v>
      </c>
      <c r="D30" s="42">
        <f>'3. 5-Year Forecast'!D21</f>
        <v>1533715.8194531249</v>
      </c>
      <c r="E30" s="42">
        <f>'3. 5-Year Forecast'!E21</f>
        <v>2335082.3351173829</v>
      </c>
      <c r="F30" s="42">
        <f>'3. 5-Year Forecast'!F21</f>
        <v>3126091.4761383962</v>
      </c>
      <c r="G30" s="42">
        <f>'3. 5-Year Forecast'!G21</f>
        <v>8424250.7025839034</v>
      </c>
      <c r="H30" s="42">
        <f>'3. 5-Year Forecast'!H21</f>
        <v>0.6184931537398406</v>
      </c>
    </row>
    <row r="31" spans="1:8" ht="14.25" customHeight="1">
      <c r="A31" s="40" t="s">
        <v>60</v>
      </c>
      <c r="B31" s="41">
        <f>'3. 5-Year Forecast'!B22</f>
        <v>2636445.2015999998</v>
      </c>
      <c r="C31" s="41">
        <f>'3. 5-Year Forecast'!C22</f>
        <v>6407927.0571250003</v>
      </c>
      <c r="D31" s="41">
        <f>'3. 5-Year Forecast'!D22</f>
        <v>9538856.4990468733</v>
      </c>
      <c r="E31" s="41">
        <f>'3. 5-Year Forecast'!E22</f>
        <v>14064777.392632617</v>
      </c>
      <c r="F31" s="41">
        <f>'3. 5-Year Forecast'!F22</f>
        <v>18047427.044936605</v>
      </c>
      <c r="G31" s="41">
        <f>'3. 5-Year Forecast'!G22</f>
        <v>50695433.195341095</v>
      </c>
      <c r="H31" s="41">
        <f>'3. 5-Year Forecast'!H22</f>
        <v>0</v>
      </c>
    </row>
    <row r="32" spans="1:8" ht="14.25" customHeight="1">
      <c r="A32" s="30" t="s">
        <v>61</v>
      </c>
      <c r="B32" s="43">
        <f>'3. 5-Year Forecast'!B23</f>
        <v>0.85266153577956227</v>
      </c>
      <c r="C32" s="43">
        <f>'3. 5-Year Forecast'!C23</f>
        <v>0.8680810844313025</v>
      </c>
      <c r="D32" s="43">
        <f>'3. 5-Year Forecast'!D23</f>
        <v>0.86148513865286735</v>
      </c>
      <c r="E32" s="43">
        <f>'3. 5-Year Forecast'!E23</f>
        <v>0.85761571294623828</v>
      </c>
      <c r="F32" s="43">
        <f>'3. 5-Year Forecast'!F23</f>
        <v>0.85235843192396921</v>
      </c>
      <c r="G32" s="43">
        <f>'3. 5-Year Forecast'!G23</f>
        <v>0.85844038074678797</v>
      </c>
      <c r="H32" s="43">
        <f>'3. 5-Year Forecast'!H23</f>
        <v>0</v>
      </c>
    </row>
    <row r="33" spans="1:8" ht="14.25" customHeight="1">
      <c r="A33" s="30" t="s">
        <v>113</v>
      </c>
      <c r="B33" s="42">
        <f>'3. 5-Year Forecast'!B27</f>
        <v>525850</v>
      </c>
      <c r="C33" s="42">
        <f>'3. 5-Year Forecast'!C27</f>
        <v>769815</v>
      </c>
      <c r="D33" s="42">
        <f>'3. 5-Year Forecast'!D27</f>
        <v>1101634.5</v>
      </c>
      <c r="E33" s="42">
        <f>'3. 5-Year Forecast'!E27</f>
        <v>1583437.35</v>
      </c>
      <c r="F33" s="42">
        <f>'3. 5-Year Forecast'!F27</f>
        <v>2285437.3050000002</v>
      </c>
      <c r="G33" s="42">
        <f>'3. 5-Year Forecast'!G27</f>
        <v>6266174.1550000003</v>
      </c>
      <c r="H33" s="42">
        <f>'3. 5-Year Forecast'!H27</f>
        <v>0</v>
      </c>
    </row>
    <row r="34" spans="1:8" ht="14.25" customHeight="1">
      <c r="A34" s="40" t="s">
        <v>114</v>
      </c>
      <c r="B34" s="41">
        <f>'3. 5-Year Forecast'!B29</f>
        <v>2110595.2015999998</v>
      </c>
      <c r="C34" s="41">
        <f>'3. 5-Year Forecast'!C29</f>
        <v>5638112.0571250003</v>
      </c>
      <c r="D34" s="41">
        <f>'3. 5-Year Forecast'!D29</f>
        <v>8437221.9990468733</v>
      </c>
      <c r="E34" s="41">
        <f>'3. 5-Year Forecast'!E29</f>
        <v>12481340.042632617</v>
      </c>
      <c r="F34" s="41">
        <f>'3. 5-Year Forecast'!F29</f>
        <v>15761989.739936605</v>
      </c>
      <c r="G34" s="41">
        <f>'3. 5-Year Forecast'!G29</f>
        <v>44429259.040341094</v>
      </c>
      <c r="H34" s="41">
        <f>'3. 5-Year Forecast'!H29</f>
        <v>0</v>
      </c>
    </row>
    <row r="35" spans="1:8" ht="14.25" customHeight="1">
      <c r="A35" s="30" t="s">
        <v>115</v>
      </c>
      <c r="B35" s="43">
        <f>'3. 5-Year Forecast'!B30</f>
        <v>0.68259463345305993</v>
      </c>
      <c r="C35" s="43">
        <f>'3. 5-Year Forecast'!C30</f>
        <v>0.76379434176801952</v>
      </c>
      <c r="D35" s="43">
        <f>'3. 5-Year Forecast'!D30</f>
        <v>0.7619929458442104</v>
      </c>
      <c r="E35" s="43">
        <f>'3. 5-Year Forecast'!E30</f>
        <v>0.76106382919319093</v>
      </c>
      <c r="F35" s="43">
        <f>'3. 5-Year Forecast'!F30</f>
        <v>0.74441995666652927</v>
      </c>
      <c r="G35" s="43">
        <f>'3. 5-Year Forecast'!G30</f>
        <v>0.74277314138500206</v>
      </c>
      <c r="H35" s="43">
        <f>'3. 5-Year Forecast'!H30</f>
        <v>0</v>
      </c>
    </row>
    <row r="36" spans="1:8" ht="14.25" customHeight="1">
      <c r="A36" s="28"/>
      <c r="B36" s="28"/>
      <c r="C36" s="28"/>
      <c r="D36" s="28"/>
      <c r="E36" s="28"/>
      <c r="F36" s="28"/>
      <c r="G36" s="28"/>
      <c r="H36" s="28"/>
    </row>
    <row r="37" spans="1:8" ht="15" customHeight="1">
      <c r="A37" s="197" t="s">
        <v>116</v>
      </c>
      <c r="B37" s="197"/>
      <c r="C37" s="197"/>
      <c r="D37" s="197"/>
      <c r="E37" s="197"/>
      <c r="F37" s="197"/>
      <c r="G37" s="197"/>
      <c r="H37" s="197"/>
    </row>
    <row r="38" spans="1:8" ht="14.25" customHeight="1">
      <c r="A38" s="200" t="s">
        <v>117</v>
      </c>
      <c r="B38" s="200"/>
      <c r="C38" s="200"/>
      <c r="D38" s="201">
        <f>'3. 5-Year Forecast'!F46</f>
        <v>200.54967306786051</v>
      </c>
      <c r="E38" s="201"/>
      <c r="F38" s="203" t="s">
        <v>118</v>
      </c>
      <c r="G38" s="203"/>
      <c r="H38" s="203"/>
    </row>
    <row r="39" spans="1:8" ht="14.25" customHeight="1">
      <c r="A39" s="200" t="s">
        <v>119</v>
      </c>
      <c r="B39" s="200"/>
      <c r="C39" s="200"/>
      <c r="D39" s="201">
        <f>'3. 5-Year Forecast'!F47</f>
        <v>1418.042511584553</v>
      </c>
      <c r="E39" s="201"/>
      <c r="F39" s="203" t="s">
        <v>120</v>
      </c>
      <c r="G39" s="203"/>
      <c r="H39" s="203"/>
    </row>
    <row r="40" spans="1:8" ht="14.25" customHeight="1">
      <c r="A40" s="200" t="s">
        <v>121</v>
      </c>
      <c r="B40" s="200"/>
      <c r="C40" s="200"/>
      <c r="D40" s="204">
        <f>'3. 5-Year Forecast'!F48</f>
        <v>7.0707794726981499</v>
      </c>
      <c r="E40" s="204"/>
      <c r="F40" s="203" t="s">
        <v>122</v>
      </c>
      <c r="G40" s="203"/>
      <c r="H40" s="203"/>
    </row>
    <row r="41" spans="1:8" ht="14.25" customHeight="1">
      <c r="A41" s="200" t="s">
        <v>123</v>
      </c>
      <c r="B41" s="200"/>
      <c r="C41" s="200"/>
      <c r="D41" s="205">
        <f>'3. 5-Year Forecast'!F49</f>
        <v>5.0913764372095036</v>
      </c>
      <c r="E41" s="205"/>
      <c r="F41" s="203" t="s">
        <v>124</v>
      </c>
      <c r="G41" s="203"/>
      <c r="H41" s="203"/>
    </row>
    <row r="42" spans="1:8" ht="14.25" customHeight="1">
      <c r="A42" s="200" t="s">
        <v>125</v>
      </c>
      <c r="B42" s="200"/>
      <c r="C42" s="200"/>
      <c r="D42" s="202">
        <f>'3. 5-Year Forecast'!F52</f>
        <v>1.0444199566665295</v>
      </c>
      <c r="E42" s="202"/>
      <c r="F42" s="203" t="s">
        <v>126</v>
      </c>
      <c r="G42" s="203"/>
      <c r="H42" s="203"/>
    </row>
    <row r="43" spans="1:8" ht="14.25" customHeight="1">
      <c r="A43" s="28"/>
      <c r="B43" s="28"/>
      <c r="C43" s="28"/>
      <c r="D43" s="28"/>
      <c r="E43" s="28"/>
      <c r="F43" s="28"/>
      <c r="G43" s="28"/>
      <c r="H43" s="28"/>
    </row>
    <row r="44" spans="1:8" ht="15" customHeight="1">
      <c r="A44" s="197" t="s">
        <v>127</v>
      </c>
      <c r="B44" s="197"/>
      <c r="C44" s="197"/>
      <c r="D44" s="197"/>
      <c r="E44" s="197"/>
      <c r="F44" s="197"/>
      <c r="G44" s="197"/>
      <c r="H44" s="197"/>
    </row>
    <row r="45" spans="1:8" ht="14.25" customHeight="1">
      <c r="A45" s="200" t="s">
        <v>128</v>
      </c>
      <c r="B45" s="200"/>
      <c r="C45" s="200"/>
      <c r="D45" s="201">
        <f>'8. Equity Structure'!B8</f>
        <v>20000000</v>
      </c>
      <c r="E45" s="201"/>
      <c r="F45" s="28"/>
      <c r="G45" s="28"/>
      <c r="H45" s="28"/>
    </row>
    <row r="46" spans="1:8" ht="14.25" customHeight="1">
      <c r="A46" s="200" t="s">
        <v>129</v>
      </c>
      <c r="B46" s="200"/>
      <c r="C46" s="200"/>
      <c r="D46" s="201">
        <f>'8. Equity Structure'!B9</f>
        <v>20365509.5</v>
      </c>
      <c r="E46" s="201"/>
      <c r="F46" s="28"/>
      <c r="G46" s="28"/>
      <c r="H46" s="28"/>
    </row>
    <row r="47" spans="1:8" ht="14.25" customHeight="1">
      <c r="A47" s="200" t="s">
        <v>130</v>
      </c>
      <c r="B47" s="200"/>
      <c r="C47" s="200"/>
      <c r="D47" s="201">
        <f>'8. Equity Structure'!B6</f>
        <v>0.25</v>
      </c>
      <c r="E47" s="201"/>
      <c r="F47" s="28"/>
      <c r="G47" s="28"/>
      <c r="H47" s="28"/>
    </row>
    <row r="48" spans="1:8" ht="14.25" customHeight="1">
      <c r="A48" s="200" t="s">
        <v>131</v>
      </c>
      <c r="B48" s="200"/>
      <c r="C48" s="200"/>
      <c r="D48" s="201">
        <f>'7. Start-up Requirements'!B77</f>
        <v>1462039</v>
      </c>
      <c r="E48" s="201"/>
      <c r="F48" s="28"/>
      <c r="G48" s="28"/>
      <c r="H48" s="28"/>
    </row>
    <row r="49" spans="1:8" ht="14.25" customHeight="1">
      <c r="A49" s="200" t="s">
        <v>132</v>
      </c>
      <c r="B49" s="200"/>
      <c r="C49" s="200"/>
      <c r="D49" s="201">
        <f>'7. Start-up Requirements'!B74</f>
        <v>219306</v>
      </c>
      <c r="E49" s="201"/>
      <c r="F49" s="28"/>
      <c r="G49" s="28"/>
      <c r="H49" s="28"/>
    </row>
    <row r="50" spans="1:8" ht="14.25" customHeight="1">
      <c r="A50" s="200" t="s">
        <v>133</v>
      </c>
      <c r="B50" s="200"/>
      <c r="C50" s="200"/>
      <c r="D50" s="201">
        <f>'7. Start-up Requirements'!B75</f>
        <v>292408</v>
      </c>
      <c r="E50" s="201"/>
      <c r="F50" s="28"/>
      <c r="G50" s="28"/>
      <c r="H50" s="28"/>
    </row>
    <row r="51" spans="1:8" ht="14.25" customHeight="1">
      <c r="A51" s="200" t="s">
        <v>134</v>
      </c>
      <c r="B51" s="200"/>
      <c r="C51" s="200"/>
      <c r="D51" s="201">
        <f>'7. Start-up Requirements'!B76</f>
        <v>950325</v>
      </c>
      <c r="E51" s="201"/>
      <c r="F51" s="28"/>
      <c r="G51" s="28"/>
      <c r="H51" s="28"/>
    </row>
    <row r="52" spans="1:8" ht="14.25" customHeight="1">
      <c r="A52" s="200" t="s">
        <v>135</v>
      </c>
      <c r="B52" s="200"/>
      <c r="C52" s="200"/>
      <c r="D52" s="202">
        <f>'8. Equity Structure'!E28</f>
        <v>0.28365045709657544</v>
      </c>
      <c r="E52" s="202"/>
      <c r="F52" s="28"/>
      <c r="G52" s="28"/>
      <c r="H52" s="28"/>
    </row>
    <row r="53" spans="1:8" ht="14.25" customHeight="1">
      <c r="A53" s="200" t="s">
        <v>136</v>
      </c>
      <c r="B53" s="200"/>
      <c r="C53" s="200"/>
      <c r="D53" s="202">
        <f>'8. Equity Structure'!E29</f>
        <v>0.28365045709657544</v>
      </c>
      <c r="E53" s="202"/>
      <c r="F53" s="28"/>
      <c r="G53" s="28"/>
      <c r="H53" s="28"/>
    </row>
    <row r="54" spans="1:8" ht="14.25" customHeight="1">
      <c r="A54" s="200" t="s">
        <v>137</v>
      </c>
      <c r="B54" s="200"/>
      <c r="C54" s="200"/>
      <c r="D54" s="202">
        <f>'8. Equity Structure'!E30</f>
        <v>0.28365045709657544</v>
      </c>
      <c r="E54" s="202"/>
      <c r="F54" s="28"/>
      <c r="G54" s="28"/>
      <c r="H54" s="28"/>
    </row>
    <row r="55" spans="1:8" ht="14.25" customHeight="1">
      <c r="A55" s="200" t="s">
        <v>138</v>
      </c>
      <c r="B55" s="200"/>
      <c r="C55" s="200"/>
      <c r="D55" s="202">
        <f>'8. Equity Structure'!E31</f>
        <v>9.4550152365525164E-2</v>
      </c>
      <c r="E55" s="202"/>
      <c r="F55" s="28"/>
      <c r="G55" s="28"/>
      <c r="H55" s="28"/>
    </row>
    <row r="56" spans="1:8" ht="14.25" customHeight="1">
      <c r="A56" s="200" t="s">
        <v>139</v>
      </c>
      <c r="B56" s="200"/>
      <c r="C56" s="200"/>
      <c r="D56" s="202">
        <f>'8. Equity Structure'!E32</f>
        <v>3.6551E-2</v>
      </c>
      <c r="E56" s="202"/>
      <c r="F56" s="28"/>
      <c r="G56" s="28"/>
      <c r="H56" s="28"/>
    </row>
    <row r="57" spans="1:8" ht="14.25" customHeight="1">
      <c r="A57" s="200" t="s">
        <v>140</v>
      </c>
      <c r="B57" s="200"/>
      <c r="C57" s="200"/>
      <c r="D57" s="202">
        <f>'8. Equity Structure'!E33</f>
        <v>1.7947476344748459E-2</v>
      </c>
      <c r="E57" s="202"/>
      <c r="F57" s="28"/>
      <c r="G57" s="28"/>
      <c r="H57" s="28"/>
    </row>
    <row r="58" spans="1:8" ht="14.25" customHeight="1">
      <c r="A58" s="28"/>
      <c r="B58" s="28"/>
      <c r="C58" s="28"/>
      <c r="D58" s="28"/>
      <c r="E58" s="28"/>
      <c r="F58" s="28"/>
      <c r="G58" s="28"/>
      <c r="H58" s="28"/>
    </row>
    <row r="59" spans="1:8" ht="15" customHeight="1">
      <c r="A59" s="197" t="s">
        <v>141</v>
      </c>
      <c r="B59" s="197"/>
      <c r="C59" s="197"/>
      <c r="D59" s="197"/>
      <c r="E59" s="197"/>
      <c r="F59" s="197"/>
      <c r="G59" s="197"/>
      <c r="H59" s="197"/>
    </row>
    <row r="60" spans="1:8" ht="14.25" customHeight="1">
      <c r="A60" s="200" t="s">
        <v>142</v>
      </c>
      <c r="B60" s="200"/>
      <c r="C60" s="200"/>
      <c r="D60" s="201">
        <f>'10. Cash Flow'!G31</f>
        <v>47993195.069919594</v>
      </c>
      <c r="E60" s="201"/>
    </row>
    <row r="61" spans="1:8" ht="14.25" customHeight="1">
      <c r="A61" s="200" t="s">
        <v>143</v>
      </c>
      <c r="B61" s="200"/>
      <c r="C61" s="200"/>
      <c r="D61" s="201">
        <f>'9. Balance Sheet'!G12</f>
        <v>157538453.04034111</v>
      </c>
      <c r="E61" s="201"/>
    </row>
    <row r="62" spans="1:8" ht="14.25" customHeight="1">
      <c r="A62" s="200" t="s">
        <v>144</v>
      </c>
      <c r="B62" s="200"/>
      <c r="C62" s="200"/>
      <c r="D62" s="201">
        <f>'9. Balance Sheet'!G16</f>
        <v>108609480</v>
      </c>
      <c r="E62" s="201"/>
    </row>
    <row r="63" spans="1:8" ht="14.25" customHeight="1">
      <c r="A63" s="200" t="s">
        <v>145</v>
      </c>
      <c r="B63" s="200"/>
      <c r="C63" s="200"/>
      <c r="D63" s="201">
        <f>'10. Cash Flow'!G35</f>
        <v>15642124.964070106</v>
      </c>
      <c r="E63" s="201"/>
    </row>
    <row r="64" spans="1:8" ht="14.25" customHeight="1">
      <c r="A64" s="200" t="s">
        <v>146</v>
      </c>
      <c r="B64" s="200"/>
      <c r="C64" s="200"/>
      <c r="D64" s="201">
        <f>SUM('10. Cash Flow'!C35:G35)</f>
        <v>43859481.069919594</v>
      </c>
      <c r="E64" s="201"/>
    </row>
    <row r="67" spans="1:8" ht="15" customHeight="1">
      <c r="A67" s="197" t="s">
        <v>147</v>
      </c>
      <c r="B67" s="197"/>
      <c r="C67" s="197"/>
      <c r="D67" s="197"/>
      <c r="E67" s="197"/>
      <c r="F67" s="197"/>
      <c r="G67" s="197"/>
      <c r="H67" s="197"/>
    </row>
    <row r="68" spans="1:8" ht="24" customHeight="1">
      <c r="A68" s="44" t="s">
        <v>148</v>
      </c>
      <c r="B68" s="196" t="s">
        <v>149</v>
      </c>
      <c r="C68" s="196"/>
      <c r="D68" s="196"/>
      <c r="E68" s="196"/>
      <c r="F68" s="196"/>
      <c r="G68" s="196"/>
      <c r="H68" s="45" t="s">
        <v>150</v>
      </c>
    </row>
    <row r="69" spans="1:8" ht="24" customHeight="1">
      <c r="A69" s="44" t="s">
        <v>151</v>
      </c>
      <c r="B69" s="196" t="s">
        <v>152</v>
      </c>
      <c r="C69" s="196"/>
      <c r="D69" s="196"/>
      <c r="E69" s="196"/>
      <c r="F69" s="196"/>
      <c r="G69" s="196"/>
      <c r="H69" s="46" t="s">
        <v>153</v>
      </c>
    </row>
    <row r="70" spans="1:8" ht="24" customHeight="1">
      <c r="A70" s="44" t="s">
        <v>154</v>
      </c>
      <c r="B70" s="196" t="s">
        <v>155</v>
      </c>
      <c r="C70" s="196"/>
      <c r="D70" s="196"/>
      <c r="E70" s="196"/>
      <c r="F70" s="196"/>
      <c r="G70" s="196"/>
      <c r="H70" s="46" t="s">
        <v>153</v>
      </c>
    </row>
    <row r="71" spans="1:8" ht="24" customHeight="1">
      <c r="A71" s="44" t="s">
        <v>156</v>
      </c>
      <c r="B71" s="196" t="s">
        <v>157</v>
      </c>
      <c r="C71" s="196"/>
      <c r="D71" s="196"/>
      <c r="E71" s="196"/>
      <c r="F71" s="196"/>
      <c r="G71" s="196"/>
      <c r="H71" s="46" t="s">
        <v>153</v>
      </c>
    </row>
    <row r="72" spans="1:8" ht="24" customHeight="1">
      <c r="A72" s="44" t="s">
        <v>158</v>
      </c>
      <c r="B72" s="196" t="s">
        <v>159</v>
      </c>
      <c r="C72" s="196"/>
      <c r="D72" s="196"/>
      <c r="E72" s="196"/>
      <c r="F72" s="196"/>
      <c r="G72" s="196"/>
      <c r="H72" s="45" t="s">
        <v>150</v>
      </c>
    </row>
    <row r="73" spans="1:8" ht="24" customHeight="1">
      <c r="A73" s="44" t="s">
        <v>160</v>
      </c>
      <c r="B73" s="196" t="s">
        <v>161</v>
      </c>
      <c r="C73" s="196"/>
      <c r="D73" s="196"/>
      <c r="E73" s="196"/>
      <c r="F73" s="196"/>
      <c r="G73" s="196"/>
      <c r="H73" s="46" t="s">
        <v>153</v>
      </c>
    </row>
    <row r="74" spans="1:8" ht="24" customHeight="1">
      <c r="A74" s="44" t="s">
        <v>162</v>
      </c>
      <c r="B74" s="196" t="s">
        <v>163</v>
      </c>
      <c r="C74" s="196"/>
      <c r="D74" s="196"/>
      <c r="E74" s="196"/>
      <c r="F74" s="196"/>
      <c r="G74" s="196"/>
      <c r="H74" s="47" t="s">
        <v>164</v>
      </c>
    </row>
    <row r="75" spans="1:8" ht="24" customHeight="1">
      <c r="A75" s="44" t="s">
        <v>165</v>
      </c>
      <c r="B75" s="196" t="s">
        <v>166</v>
      </c>
      <c r="C75" s="196"/>
      <c r="D75" s="196"/>
      <c r="E75" s="196"/>
      <c r="F75" s="196"/>
      <c r="G75" s="196"/>
      <c r="H75" s="47" t="s">
        <v>164</v>
      </c>
    </row>
    <row r="78" spans="1:8" ht="15" customHeight="1">
      <c r="A78" s="197" t="s">
        <v>167</v>
      </c>
      <c r="B78" s="197"/>
      <c r="C78" s="197"/>
      <c r="D78" s="197"/>
      <c r="E78" s="197"/>
      <c r="F78" s="197"/>
      <c r="G78" s="197"/>
      <c r="H78" s="197"/>
    </row>
    <row r="79" spans="1:8" ht="69.75" customHeight="1">
      <c r="A79" s="198" t="s">
        <v>168</v>
      </c>
      <c r="B79" s="198"/>
      <c r="C79" s="198"/>
      <c r="D79" s="198"/>
      <c r="E79" s="198"/>
      <c r="F79" s="198"/>
      <c r="G79" s="198"/>
      <c r="H79" s="198"/>
    </row>
    <row r="81" spans="1:8" ht="14.25" customHeight="1">
      <c r="A81" s="199" t="s">
        <v>169</v>
      </c>
      <c r="B81" s="199"/>
      <c r="C81" s="199"/>
      <c r="D81" s="199"/>
      <c r="E81" s="199"/>
      <c r="F81" s="199"/>
      <c r="G81" s="199"/>
      <c r="H81" s="199"/>
    </row>
  </sheetData>
  <mergeCells count="118">
    <mergeCell ref="A2:H2"/>
    <mergeCell ref="A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10:H10"/>
    <mergeCell ref="A11:C11"/>
    <mergeCell ref="D11:E11"/>
    <mergeCell ref="F11:H11"/>
    <mergeCell ref="A12:C12"/>
    <mergeCell ref="D12:E12"/>
    <mergeCell ref="F12:H12"/>
    <mergeCell ref="A13:C13"/>
    <mergeCell ref="D13:E13"/>
    <mergeCell ref="F13:H13"/>
    <mergeCell ref="A14:C14"/>
    <mergeCell ref="D14:E14"/>
    <mergeCell ref="F14:H14"/>
    <mergeCell ref="A15:C15"/>
    <mergeCell ref="D15:E15"/>
    <mergeCell ref="F15:H15"/>
    <mergeCell ref="A17:H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7:H27"/>
    <mergeCell ref="A37:H37"/>
    <mergeCell ref="A38:C38"/>
    <mergeCell ref="D38:E38"/>
    <mergeCell ref="F38:H38"/>
    <mergeCell ref="A39:C39"/>
    <mergeCell ref="D39:E39"/>
    <mergeCell ref="F39:H39"/>
    <mergeCell ref="A40:C40"/>
    <mergeCell ref="D40:E40"/>
    <mergeCell ref="F40:H40"/>
    <mergeCell ref="A41:C41"/>
    <mergeCell ref="D41:E41"/>
    <mergeCell ref="F41:H41"/>
    <mergeCell ref="A42:C42"/>
    <mergeCell ref="D42:E42"/>
    <mergeCell ref="F42:H42"/>
    <mergeCell ref="A44:H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9:H59"/>
    <mergeCell ref="A60:C60"/>
    <mergeCell ref="D60:E60"/>
    <mergeCell ref="A61:C61"/>
    <mergeCell ref="D61:E61"/>
    <mergeCell ref="A62:C62"/>
    <mergeCell ref="D62:E62"/>
    <mergeCell ref="A63:C63"/>
    <mergeCell ref="D63:E63"/>
    <mergeCell ref="B74:G74"/>
    <mergeCell ref="B75:G75"/>
    <mergeCell ref="A78:H78"/>
    <mergeCell ref="A79:H79"/>
    <mergeCell ref="A81:H81"/>
    <mergeCell ref="A64:C64"/>
    <mergeCell ref="D64:E64"/>
    <mergeCell ref="A67:H67"/>
    <mergeCell ref="B68:G68"/>
    <mergeCell ref="B69:G69"/>
    <mergeCell ref="B70:G70"/>
    <mergeCell ref="B71:G71"/>
    <mergeCell ref="B72:G72"/>
    <mergeCell ref="B73:G73"/>
  </mergeCells>
  <hyperlinks>
    <hyperlink ref="I1" location="'1. Master P&amp;L Summary'!A1" display="↑ P&amp;L" xr:uid="{00000000-0004-0000-0100-000000000000}"/>
    <hyperlink ref="P1" location="'1. Master P&amp;L Summary'!A1" display="↑ P&amp;L" xr:uid="{00000000-0004-0000-0100-00000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4"/>
  <sheetViews>
    <sheetView showGridLines="0" topLeftCell="A34" zoomScale="93" zoomScaleNormal="93" workbookViewId="0">
      <selection activeCell="A8" sqref="A8"/>
    </sheetView>
  </sheetViews>
  <sheetFormatPr defaultColWidth="8.69140625" defaultRowHeight="14.6"/>
  <cols>
    <col min="1" max="1" width="38" customWidth="1"/>
    <col min="2" max="6" width="14" customWidth="1"/>
    <col min="7" max="7" width="28" customWidth="1"/>
    <col min="8" max="10" width="12" customWidth="1"/>
    <col min="16" max="16" width="14" customWidth="1"/>
  </cols>
  <sheetData>
    <row r="1" spans="1:16" ht="27.75" customHeight="1" thickBot="1">
      <c r="A1" s="213" t="s">
        <v>170</v>
      </c>
      <c r="B1" s="213"/>
      <c r="C1" s="213"/>
      <c r="D1" s="213"/>
      <c r="E1" s="213"/>
      <c r="F1" s="213"/>
      <c r="G1" s="213"/>
      <c r="I1" s="4" t="s">
        <v>72</v>
      </c>
      <c r="P1" s="4" t="s">
        <v>72</v>
      </c>
    </row>
    <row r="2" spans="1:16" ht="14.25" customHeight="1">
      <c r="A2" s="195" t="s">
        <v>171</v>
      </c>
      <c r="B2" s="195"/>
      <c r="C2" s="195"/>
      <c r="D2" s="195"/>
      <c r="E2" s="195"/>
      <c r="F2" s="195"/>
      <c r="G2" s="195"/>
      <c r="H2" s="195"/>
    </row>
    <row r="4" spans="1:16" ht="14.25" customHeight="1">
      <c r="A4" s="192" t="s">
        <v>172</v>
      </c>
      <c r="B4" s="192"/>
      <c r="C4" s="192"/>
      <c r="D4" s="192"/>
      <c r="E4" s="192"/>
      <c r="F4" s="192"/>
      <c r="G4" s="192"/>
      <c r="H4" s="192"/>
    </row>
    <row r="5" spans="1:16" ht="14.25" customHeight="1">
      <c r="A5" s="5" t="s">
        <v>173</v>
      </c>
      <c r="B5" s="5" t="s">
        <v>106</v>
      </c>
      <c r="C5" s="5" t="s">
        <v>107</v>
      </c>
      <c r="D5" s="5" t="s">
        <v>108</v>
      </c>
      <c r="E5" s="5" t="s">
        <v>109</v>
      </c>
      <c r="F5" s="5" t="s">
        <v>174</v>
      </c>
    </row>
    <row r="6" spans="1:16" ht="14.25" customHeight="1">
      <c r="A6" s="1" t="s">
        <v>175</v>
      </c>
      <c r="B6" s="48">
        <v>2</v>
      </c>
      <c r="C6" s="48">
        <v>1.5</v>
      </c>
      <c r="D6" s="48">
        <v>1.4</v>
      </c>
      <c r="E6" s="48">
        <v>1.25</v>
      </c>
      <c r="F6" s="2" t="s">
        <v>176</v>
      </c>
    </row>
    <row r="7" spans="1:16" ht="14.25" customHeight="1">
      <c r="A7" s="1" t="s">
        <v>177</v>
      </c>
      <c r="B7" s="48">
        <v>2.5</v>
      </c>
      <c r="C7" s="48">
        <v>1.5</v>
      </c>
      <c r="D7" s="48">
        <v>1.5</v>
      </c>
      <c r="E7" s="48">
        <v>1.3</v>
      </c>
      <c r="F7" s="2" t="s">
        <v>178</v>
      </c>
    </row>
    <row r="8" spans="1:16" ht="14.25" customHeight="1">
      <c r="A8" s="1" t="s">
        <v>179</v>
      </c>
      <c r="B8" s="48">
        <v>1</v>
      </c>
      <c r="C8" s="48">
        <v>1</v>
      </c>
      <c r="D8" s="48">
        <v>1</v>
      </c>
      <c r="E8" s="48">
        <v>1</v>
      </c>
      <c r="F8" s="2" t="s">
        <v>180</v>
      </c>
    </row>
    <row r="9" spans="1:16" ht="14.25" customHeight="1">
      <c r="A9" s="1" t="s">
        <v>181</v>
      </c>
      <c r="B9" s="48">
        <v>0.95</v>
      </c>
      <c r="C9" s="48">
        <v>1.05</v>
      </c>
      <c r="D9" s="48">
        <v>1.05</v>
      </c>
      <c r="E9" s="48">
        <v>1.05</v>
      </c>
      <c r="F9" s="2" t="s">
        <v>182</v>
      </c>
    </row>
    <row r="10" spans="1:16" ht="14.25" customHeight="1">
      <c r="A10" s="1" t="s">
        <v>183</v>
      </c>
      <c r="B10" s="48">
        <v>1.4</v>
      </c>
      <c r="C10" s="48">
        <v>1.3</v>
      </c>
      <c r="D10" s="48">
        <v>1.3</v>
      </c>
      <c r="E10" s="48">
        <v>1.3</v>
      </c>
      <c r="F10" s="2" t="s">
        <v>184</v>
      </c>
    </row>
    <row r="11" spans="1:16" ht="14.25" customHeight="1">
      <c r="A11" s="1" t="s">
        <v>185</v>
      </c>
      <c r="B11" s="48">
        <v>1.5</v>
      </c>
      <c r="C11" s="48">
        <v>1.5</v>
      </c>
      <c r="D11" s="48">
        <v>1.5</v>
      </c>
      <c r="E11" s="48">
        <v>1.5</v>
      </c>
      <c r="F11" s="2" t="s">
        <v>186</v>
      </c>
    </row>
    <row r="14" spans="1:16" ht="14.25" customHeight="1">
      <c r="A14" s="192" t="s">
        <v>187</v>
      </c>
      <c r="B14" s="192"/>
      <c r="C14" s="192"/>
      <c r="D14" s="192"/>
      <c r="E14" s="192"/>
      <c r="F14" s="192"/>
      <c r="G14" s="192"/>
      <c r="H14" s="192"/>
    </row>
    <row r="15" spans="1:16" ht="14.25" customHeight="1">
      <c r="A15" s="5" t="s">
        <v>104</v>
      </c>
      <c r="B15" s="5" t="s">
        <v>105</v>
      </c>
      <c r="C15" s="5" t="s">
        <v>106</v>
      </c>
      <c r="D15" s="5" t="s">
        <v>107</v>
      </c>
      <c r="E15" s="5" t="s">
        <v>108</v>
      </c>
      <c r="F15" s="5" t="s">
        <v>109</v>
      </c>
      <c r="G15" s="5" t="s">
        <v>110</v>
      </c>
      <c r="H15" s="5" t="s">
        <v>111</v>
      </c>
    </row>
    <row r="16" spans="1:16" ht="14.25" customHeight="1">
      <c r="A16" s="193" t="s">
        <v>3</v>
      </c>
      <c r="B16" s="193"/>
      <c r="C16" s="193"/>
      <c r="D16" s="193"/>
      <c r="E16" s="193"/>
      <c r="F16" s="193"/>
      <c r="G16" s="193"/>
      <c r="H16" s="193"/>
    </row>
    <row r="17" spans="1:8" ht="14.25" customHeight="1">
      <c r="A17" s="1" t="s">
        <v>188</v>
      </c>
      <c r="B17" s="6">
        <f>'1. P&amp;L Summary'!B18</f>
        <v>696662.5</v>
      </c>
      <c r="C17" s="7">
        <f>B17*B6*B8</f>
        <v>1393325</v>
      </c>
      <c r="D17" s="7">
        <f>C17*C6*C8</f>
        <v>2089987.5</v>
      </c>
      <c r="E17" s="7">
        <f>D17*D6*D8</f>
        <v>2925982.5</v>
      </c>
      <c r="F17" s="7">
        <f>E17*E6*E8</f>
        <v>3657478.125</v>
      </c>
      <c r="G17" s="7">
        <f>SUM(B17:F17)</f>
        <v>10763435.625</v>
      </c>
      <c r="H17" s="8">
        <f>IFERROR((F17/B17)^(1/4)-1,0)</f>
        <v>0.51370005201754565</v>
      </c>
    </row>
    <row r="18" spans="1:8" ht="14.25" customHeight="1">
      <c r="A18" s="1" t="s">
        <v>189</v>
      </c>
      <c r="B18" s="6">
        <f>'1. P&amp;L Summary'!C18</f>
        <v>2395355.9515999998</v>
      </c>
      <c r="C18" s="7">
        <f>B18*B7*B8</f>
        <v>5988389.8789999997</v>
      </c>
      <c r="D18" s="7">
        <f>C18*C7*C8</f>
        <v>8982584.8184999991</v>
      </c>
      <c r="E18" s="7">
        <f>D18*D7*D8</f>
        <v>13473877.22775</v>
      </c>
      <c r="F18" s="7">
        <f>E18*E7*E8</f>
        <v>17516040.396074999</v>
      </c>
      <c r="G18" s="7">
        <f>SUM(B18:F18)</f>
        <v>48356248.272924997</v>
      </c>
      <c r="H18" s="8">
        <f>IFERROR((F18/B18)^(1/4)-1,0)</f>
        <v>0.64443408399302893</v>
      </c>
    </row>
    <row r="19" spans="1:8" ht="15.75" customHeight="1">
      <c r="A19" s="14" t="s">
        <v>112</v>
      </c>
      <c r="B19" s="15">
        <f>B17+B18</f>
        <v>3092018.4515999998</v>
      </c>
      <c r="C19" s="15">
        <f>C17+C18</f>
        <v>7381714.8789999997</v>
      </c>
      <c r="D19" s="15">
        <f>D17+D18</f>
        <v>11072572.318499999</v>
      </c>
      <c r="E19" s="15">
        <f>E17+E18</f>
        <v>16399859.72775</v>
      </c>
      <c r="F19" s="15">
        <f>F17+F18</f>
        <v>21173518.521074999</v>
      </c>
      <c r="G19" s="15">
        <f>SUM(B19:F19)</f>
        <v>59119683.897924989</v>
      </c>
      <c r="H19" s="49">
        <f>IFERROR((F19/B19)^(1/4)-1,0)</f>
        <v>0.61766183359084148</v>
      </c>
    </row>
    <row r="21" spans="1:8" ht="14.25" customHeight="1">
      <c r="A21" s="1" t="s">
        <v>59</v>
      </c>
      <c r="B21" s="6">
        <f>'1. P&amp;L Summary'!D29</f>
        <v>455573.25</v>
      </c>
      <c r="C21" s="7">
        <f>B21*(B6+B7)/2*B9</f>
        <v>973787.82187499991</v>
      </c>
      <c r="D21" s="7">
        <f>C21*(C6+C7)/2*C9</f>
        <v>1533715.8194531249</v>
      </c>
      <c r="E21" s="7">
        <f>D21*(D6+D7)/2*D9</f>
        <v>2335082.3351173829</v>
      </c>
      <c r="F21" s="7">
        <f>E21*(E6+E7)/2*E9</f>
        <v>3126091.4761383962</v>
      </c>
      <c r="G21" s="7">
        <f>SUM(B21:F21)</f>
        <v>8424250.7025839034</v>
      </c>
      <c r="H21" s="8">
        <f>IFERROR((F21/B21)^(1/4)-1,0)</f>
        <v>0.6184931537398406</v>
      </c>
    </row>
    <row r="22" spans="1:8" ht="15.75" customHeight="1">
      <c r="A22" s="14" t="s">
        <v>60</v>
      </c>
      <c r="B22" s="15">
        <f>B19-B21</f>
        <v>2636445.2015999998</v>
      </c>
      <c r="C22" s="15">
        <f>C19-C21</f>
        <v>6407927.0571250003</v>
      </c>
      <c r="D22" s="15">
        <f>D19-D21</f>
        <v>9538856.4990468733</v>
      </c>
      <c r="E22" s="15">
        <f>E19-E21</f>
        <v>14064777.392632617</v>
      </c>
      <c r="F22" s="15">
        <f>F19-F21</f>
        <v>18047427.044936605</v>
      </c>
      <c r="G22" s="15">
        <f>SUM(B22:F22)</f>
        <v>50695433.195341095</v>
      </c>
    </row>
    <row r="23" spans="1:8" ht="14.25" customHeight="1">
      <c r="A23" s="1" t="s">
        <v>61</v>
      </c>
      <c r="B23" s="8">
        <f>IFERROR(B22/B19,0)</f>
        <v>0.85266153577956227</v>
      </c>
      <c r="C23" s="8">
        <f>IFERROR(C22/C19,0)</f>
        <v>0.8680810844313025</v>
      </c>
      <c r="D23" s="8">
        <f>IFERROR(D22/D19,0)</f>
        <v>0.86148513865286735</v>
      </c>
      <c r="E23" s="8">
        <f>IFERROR(E22/E19,0)</f>
        <v>0.85761571294623828</v>
      </c>
      <c r="F23" s="8">
        <f>IFERROR(F22/F19,0)</f>
        <v>0.85235843192396921</v>
      </c>
      <c r="G23" s="8">
        <f>AVERAGE(B23:F23)</f>
        <v>0.85844038074678797</v>
      </c>
    </row>
    <row r="25" spans="1:8" ht="14.25" customHeight="1">
      <c r="A25" s="1" t="s">
        <v>190</v>
      </c>
      <c r="B25" s="6">
        <f>'1. P&amp;L Summary'!D36</f>
        <v>336250</v>
      </c>
      <c r="C25" s="7">
        <f>B25*B11</f>
        <v>504375</v>
      </c>
      <c r="D25" s="7">
        <f>C25*C11</f>
        <v>756562.5</v>
      </c>
      <c r="E25" s="7">
        <f>D25*D11</f>
        <v>1134843.75</v>
      </c>
      <c r="F25" s="7">
        <f>E25*E11</f>
        <v>1702265.625</v>
      </c>
      <c r="G25" s="7">
        <f>SUM(B25:F25)</f>
        <v>4434296.875</v>
      </c>
      <c r="H25" s="8">
        <f>IFERROR((F25/B25)^(1/4)-1,0)</f>
        <v>0.5</v>
      </c>
    </row>
    <row r="26" spans="1:8" ht="14.25" customHeight="1">
      <c r="A26" s="1" t="s">
        <v>191</v>
      </c>
      <c r="B26" s="6">
        <f>'1. P&amp;L Summary'!D42-'1. P&amp;L Summary'!D36</f>
        <v>189600</v>
      </c>
      <c r="C26" s="7">
        <f>B26*B10</f>
        <v>265440</v>
      </c>
      <c r="D26" s="7">
        <f>C26*C10</f>
        <v>345072</v>
      </c>
      <c r="E26" s="7">
        <f>D26*D10</f>
        <v>448593.60000000003</v>
      </c>
      <c r="F26" s="7">
        <f>E26*E10</f>
        <v>583171.68000000005</v>
      </c>
      <c r="G26" s="7">
        <f>SUM(B26:F26)</f>
        <v>1831877.2800000003</v>
      </c>
      <c r="H26" s="8">
        <f>IFERROR((F26/B26)^(1/4)-1,0)</f>
        <v>0.32430958737757587</v>
      </c>
    </row>
    <row r="27" spans="1:8" ht="14.25" customHeight="1">
      <c r="A27" s="50" t="s">
        <v>113</v>
      </c>
      <c r="B27" s="51">
        <f t="shared" ref="B27:G27" si="0">B25+B26</f>
        <v>525850</v>
      </c>
      <c r="C27" s="51">
        <f t="shared" si="0"/>
        <v>769815</v>
      </c>
      <c r="D27" s="51">
        <f t="shared" si="0"/>
        <v>1101634.5</v>
      </c>
      <c r="E27" s="51">
        <f t="shared" si="0"/>
        <v>1583437.35</v>
      </c>
      <c r="F27" s="51">
        <f t="shared" si="0"/>
        <v>2285437.3050000002</v>
      </c>
      <c r="G27" s="51">
        <f t="shared" si="0"/>
        <v>6266174.1550000003</v>
      </c>
    </row>
    <row r="29" spans="1:8" ht="14.25" customHeight="1">
      <c r="A29" s="25" t="s">
        <v>192</v>
      </c>
      <c r="B29" s="52">
        <f>B22-B27</f>
        <v>2110595.2015999998</v>
      </c>
      <c r="C29" s="52">
        <f>C22-C27</f>
        <v>5638112.0571250003</v>
      </c>
      <c r="D29" s="52">
        <f>D22-D27</f>
        <v>8437221.9990468733</v>
      </c>
      <c r="E29" s="52">
        <f>E22-E27</f>
        <v>12481340.042632617</v>
      </c>
      <c r="F29" s="52">
        <f>F22-F27</f>
        <v>15761989.739936605</v>
      </c>
      <c r="G29" s="52">
        <f>SUM(B29:F29)</f>
        <v>44429259.040341094</v>
      </c>
    </row>
    <row r="30" spans="1:8" ht="14.25" customHeight="1">
      <c r="A30" s="1" t="s">
        <v>193</v>
      </c>
      <c r="B30" s="8">
        <f>IFERROR(B29/B19,0)</f>
        <v>0.68259463345305993</v>
      </c>
      <c r="C30" s="8">
        <f>IFERROR(C29/C19,0)</f>
        <v>0.76379434176801952</v>
      </c>
      <c r="D30" s="8">
        <f>IFERROR(D29/D19,0)</f>
        <v>0.7619929458442104</v>
      </c>
      <c r="E30" s="8">
        <f>IFERROR(E29/E19,0)</f>
        <v>0.76106382919319093</v>
      </c>
      <c r="F30" s="8">
        <f>IFERROR(F29/F19,0)</f>
        <v>0.74441995666652927</v>
      </c>
      <c r="G30" s="8">
        <f>AVERAGE(B30:F30)</f>
        <v>0.74277314138500206</v>
      </c>
    </row>
    <row r="31" spans="1:8" ht="14.25" customHeight="1">
      <c r="A31" s="1" t="s">
        <v>194</v>
      </c>
      <c r="B31" s="7">
        <f>B29</f>
        <v>2110595.2015999998</v>
      </c>
      <c r="C31" s="7">
        <f>B31+C29</f>
        <v>7748707.2587250005</v>
      </c>
      <c r="D31" s="7">
        <f>C31+D29</f>
        <v>16185929.257771874</v>
      </c>
      <c r="E31" s="7">
        <f>D31+E29</f>
        <v>28667269.300404489</v>
      </c>
      <c r="F31" s="7">
        <f>E31+F29</f>
        <v>44429259.040341094</v>
      </c>
    </row>
    <row r="34" spans="1:8" ht="14.25" customHeight="1">
      <c r="A34" s="192" t="s">
        <v>195</v>
      </c>
      <c r="B34" s="192"/>
      <c r="C34" s="192"/>
      <c r="D34" s="192"/>
      <c r="E34" s="192"/>
      <c r="F34" s="192"/>
      <c r="G34" s="192"/>
      <c r="H34" s="192"/>
    </row>
    <row r="35" spans="1:8" ht="14.25" customHeight="1">
      <c r="A35" s="5" t="s">
        <v>54</v>
      </c>
      <c r="B35" s="5" t="s">
        <v>105</v>
      </c>
      <c r="C35" s="5" t="s">
        <v>106</v>
      </c>
      <c r="D35" s="5" t="s">
        <v>107</v>
      </c>
      <c r="E35" s="5" t="s">
        <v>108</v>
      </c>
      <c r="F35" s="5" t="s">
        <v>109</v>
      </c>
      <c r="G35" s="5" t="s">
        <v>196</v>
      </c>
      <c r="H35" s="5" t="s">
        <v>111</v>
      </c>
    </row>
    <row r="36" spans="1:8" ht="14.25" customHeight="1">
      <c r="A36" s="1" t="s">
        <v>197</v>
      </c>
      <c r="B36" s="53">
        <f>'11. Founders — Inputs'!B5</f>
        <v>2000</v>
      </c>
      <c r="C36" s="54">
        <f t="shared" ref="C36:F37" si="1">ROUND(B36*B6,0)</f>
        <v>4000</v>
      </c>
      <c r="D36" s="54">
        <f t="shared" si="1"/>
        <v>6000</v>
      </c>
      <c r="E36" s="54">
        <f t="shared" si="1"/>
        <v>8400</v>
      </c>
      <c r="F36" s="54">
        <f t="shared" si="1"/>
        <v>10500</v>
      </c>
      <c r="G36" s="54">
        <f>F36</f>
        <v>10500</v>
      </c>
      <c r="H36" s="8">
        <f>IFERROR((F36/B36)^(1/4)-1,0)</f>
        <v>0.51370005201754565</v>
      </c>
    </row>
    <row r="37" spans="1:8" ht="14.25" customHeight="1">
      <c r="A37" s="1" t="s">
        <v>198</v>
      </c>
      <c r="B37" s="53">
        <f>'16. AGP — Math'!D16</f>
        <v>3785</v>
      </c>
      <c r="C37" s="54">
        <f t="shared" si="1"/>
        <v>9463</v>
      </c>
      <c r="D37" s="54">
        <f t="shared" si="1"/>
        <v>14195</v>
      </c>
      <c r="E37" s="54">
        <f t="shared" si="1"/>
        <v>21293</v>
      </c>
      <c r="F37" s="54">
        <f t="shared" si="1"/>
        <v>27681</v>
      </c>
      <c r="G37" s="54">
        <f>F37</f>
        <v>27681</v>
      </c>
      <c r="H37" s="8">
        <f>IFERROR((F37/B37)^(1/4)-1,0)</f>
        <v>0.64448142703440214</v>
      </c>
    </row>
    <row r="38" spans="1:8" ht="15.75" customHeight="1">
      <c r="A38" s="14" t="s">
        <v>199</v>
      </c>
      <c r="B38" s="27">
        <f>B36+B37</f>
        <v>5785</v>
      </c>
      <c r="C38" s="27">
        <f>C36+C37</f>
        <v>13463</v>
      </c>
      <c r="D38" s="27">
        <f>D36+D37</f>
        <v>20195</v>
      </c>
      <c r="E38" s="27">
        <f>E36+E37</f>
        <v>29693</v>
      </c>
      <c r="F38" s="27">
        <f>F36+F37</f>
        <v>38181</v>
      </c>
      <c r="G38" s="27">
        <f>F38</f>
        <v>38181</v>
      </c>
    </row>
    <row r="40" spans="1:8" ht="14.25" customHeight="1">
      <c r="A40" s="1" t="s">
        <v>200</v>
      </c>
      <c r="B40" s="55">
        <f>B18+'1. P&amp;L Summary'!D12+'1. P&amp;L Summary'!D14</f>
        <v>2485988.7515999996</v>
      </c>
      <c r="C40" s="55">
        <f>B40*B7*B8</f>
        <v>6214971.8789999988</v>
      </c>
      <c r="D40" s="55">
        <f>C40*C7*C8</f>
        <v>9322457.8184999973</v>
      </c>
      <c r="E40" s="55">
        <f>D40*D7*D8</f>
        <v>13983686.727749996</v>
      </c>
      <c r="F40" s="55">
        <f>E40*E7*E8</f>
        <v>18178792.746074997</v>
      </c>
      <c r="G40" s="56">
        <f>SUM(B40:F40)</f>
        <v>50185897.922924988</v>
      </c>
      <c r="H40" s="8">
        <f>IFERROR((F40/B40)^(1/4)-1,0)</f>
        <v>0.64443408399302893</v>
      </c>
    </row>
    <row r="41" spans="1:8" ht="14.25" customHeight="1">
      <c r="A41" s="1" t="s">
        <v>201</v>
      </c>
      <c r="B41" s="24" t="s">
        <v>62</v>
      </c>
      <c r="C41" s="8">
        <f>(C40-B40)/B40</f>
        <v>1.5</v>
      </c>
      <c r="D41" s="8">
        <f>(D40-C40)/C40</f>
        <v>0.49999999999999983</v>
      </c>
      <c r="E41" s="8">
        <f>(E40-D40)/D40</f>
        <v>0.5</v>
      </c>
      <c r="F41" s="8">
        <f>(F40-E40)/E40</f>
        <v>0.30000000000000016</v>
      </c>
    </row>
    <row r="44" spans="1:8" ht="14.25" customHeight="1">
      <c r="A44" s="192" t="s">
        <v>202</v>
      </c>
      <c r="B44" s="192"/>
      <c r="C44" s="192"/>
      <c r="D44" s="192"/>
      <c r="E44" s="192"/>
      <c r="F44" s="192"/>
      <c r="G44" s="192"/>
      <c r="H44" s="192"/>
    </row>
    <row r="45" spans="1:8" ht="14.25" customHeight="1">
      <c r="A45" s="5" t="s">
        <v>54</v>
      </c>
      <c r="B45" s="5" t="s">
        <v>105</v>
      </c>
      <c r="C45" s="5" t="s">
        <v>106</v>
      </c>
      <c r="D45" s="5" t="s">
        <v>107</v>
      </c>
      <c r="E45" s="5" t="s">
        <v>108</v>
      </c>
      <c r="F45" s="5" t="s">
        <v>109</v>
      </c>
      <c r="G45" s="5" t="s">
        <v>203</v>
      </c>
      <c r="H45" s="5" t="s">
        <v>204</v>
      </c>
    </row>
    <row r="46" spans="1:8" ht="14.25" customHeight="1">
      <c r="A46" s="1" t="s">
        <v>117</v>
      </c>
      <c r="B46" s="7">
        <f>B25/B38</f>
        <v>58.124459809853072</v>
      </c>
      <c r="C46" s="7">
        <f>C25/(C38-B38)</f>
        <v>65.690935139359212</v>
      </c>
      <c r="D46" s="7">
        <f>D25/(D38-C38)</f>
        <v>112.38302139037434</v>
      </c>
      <c r="E46" s="7">
        <f>E25/(E38-D38)</f>
        <v>119.48239102969046</v>
      </c>
      <c r="F46" s="7">
        <f>F25/(F38-E38)</f>
        <v>200.54967306786051</v>
      </c>
      <c r="G46" s="2" t="s">
        <v>205</v>
      </c>
      <c r="H46" s="2" t="s">
        <v>206</v>
      </c>
    </row>
    <row r="47" spans="1:8" ht="14.25" customHeight="1">
      <c r="A47" s="1" t="s">
        <v>119</v>
      </c>
      <c r="B47" s="7">
        <f>B22/B38*3</f>
        <v>1367.2144519965427</v>
      </c>
      <c r="C47" s="7">
        <f>C22/C38*3</f>
        <v>1427.8972867395828</v>
      </c>
      <c r="D47" s="7">
        <f>D22/D38*3</f>
        <v>1417.0126019876514</v>
      </c>
      <c r="E47" s="7">
        <f>E22/E38*3</f>
        <v>1421.0195055365859</v>
      </c>
      <c r="F47" s="7">
        <f>F22/F38*3</f>
        <v>1418.042511584553</v>
      </c>
      <c r="G47" s="2" t="s">
        <v>207</v>
      </c>
      <c r="H47" s="2" t="s">
        <v>208</v>
      </c>
    </row>
    <row r="48" spans="1:8" ht="15.75" customHeight="1">
      <c r="A48" s="14" t="s">
        <v>121</v>
      </c>
      <c r="B48" s="57">
        <f>IFERROR(B47/B46,0)</f>
        <v>23.522187672267656</v>
      </c>
      <c r="C48" s="57">
        <f>IFERROR(C47/C46,0)</f>
        <v>21.736595524335101</v>
      </c>
      <c r="D48" s="57">
        <f>IFERROR(D47/D46,0)</f>
        <v>12.608778305270045</v>
      </c>
      <c r="E48" s="57">
        <f>IFERROR(E47/E46,0)</f>
        <v>11.893129132170392</v>
      </c>
      <c r="F48" s="57">
        <f>IFERROR(F47/F46,0)</f>
        <v>7.0707794726981499</v>
      </c>
      <c r="G48" s="2" t="s">
        <v>209</v>
      </c>
      <c r="H48" s="2" t="s">
        <v>210</v>
      </c>
    </row>
    <row r="49" spans="1:8" ht="14.25" customHeight="1">
      <c r="A49" s="1" t="s">
        <v>123</v>
      </c>
      <c r="B49" s="58">
        <f>IFERROR(B46*12/(B22/B38),0)</f>
        <v>1.5304698908785392</v>
      </c>
      <c r="C49" s="58">
        <f>IFERROR(C46*12/(C22/C38),0)</f>
        <v>1.6561931218573938</v>
      </c>
      <c r="D49" s="58">
        <f>IFERROR(D46*12/(D22/D38),0)</f>
        <v>2.8551536975595178</v>
      </c>
      <c r="E49" s="58">
        <f>IFERROR(E46*12/(E22/E38),0)</f>
        <v>3.0269578005860192</v>
      </c>
      <c r="F49" s="58">
        <f>IFERROR(F46*12/(F22/F38),0)</f>
        <v>5.0913764372095036</v>
      </c>
      <c r="G49" s="2" t="s">
        <v>211</v>
      </c>
      <c r="H49" s="2" t="s">
        <v>212</v>
      </c>
    </row>
    <row r="50" spans="1:8" ht="14.25" customHeight="1">
      <c r="A50" s="1" t="s">
        <v>213</v>
      </c>
      <c r="B50" s="59">
        <f>'15. AGP — Inputs'!B23</f>
        <v>0.73799834582665091</v>
      </c>
      <c r="C50" s="8">
        <f>'15. AGP — Inputs'!B23*C8</f>
        <v>0.73799834582665091</v>
      </c>
      <c r="D50" s="8">
        <f>'15. AGP — Inputs'!B23*D8</f>
        <v>0.73799834582665091</v>
      </c>
      <c r="E50" s="8">
        <f>'15. AGP — Inputs'!B23*E8</f>
        <v>0.73799834582665091</v>
      </c>
      <c r="F50" s="8">
        <f>'15. AGP — Inputs'!B23*E8</f>
        <v>0.73799834582665091</v>
      </c>
      <c r="G50" s="2" t="s">
        <v>214</v>
      </c>
      <c r="H50" s="2" t="s">
        <v>215</v>
      </c>
    </row>
    <row r="51" spans="1:8" ht="14.25" customHeight="1">
      <c r="A51" s="1" t="s">
        <v>216</v>
      </c>
      <c r="B51" s="59">
        <f>'15. AGP — Inputs'!B23</f>
        <v>0.73799834582665091</v>
      </c>
      <c r="C51" s="8">
        <f>'15. AGP — Inputs'!B23</f>
        <v>0.73799834582665091</v>
      </c>
      <c r="D51" s="8">
        <f>'15. AGP — Inputs'!B23</f>
        <v>0.73799834582665091</v>
      </c>
      <c r="E51" s="8">
        <f>'15. AGP — Inputs'!B23</f>
        <v>0.73799834582665091</v>
      </c>
      <c r="F51" s="8">
        <f>'15. AGP — Inputs'!B23</f>
        <v>0.73799834582665091</v>
      </c>
      <c r="G51" s="2" t="s">
        <v>217</v>
      </c>
      <c r="H51" s="2" t="s">
        <v>218</v>
      </c>
    </row>
    <row r="52" spans="1:8" ht="14.25" customHeight="1">
      <c r="A52" s="1" t="s">
        <v>219</v>
      </c>
      <c r="B52" s="24" t="s">
        <v>62</v>
      </c>
      <c r="C52" s="8">
        <f>C41+C30</f>
        <v>2.2637943417680195</v>
      </c>
      <c r="D52" s="8">
        <f>D41+D30</f>
        <v>1.2619929458442103</v>
      </c>
      <c r="E52" s="8">
        <f>E41+E30</f>
        <v>1.261063829193191</v>
      </c>
      <c r="F52" s="8">
        <f>F41+F30</f>
        <v>1.0444199566665295</v>
      </c>
      <c r="G52" s="2" t="s">
        <v>220</v>
      </c>
      <c r="H52" s="2" t="s">
        <v>221</v>
      </c>
    </row>
    <row r="53" spans="1:8" ht="14.25" customHeight="1">
      <c r="A53" s="1" t="s">
        <v>222</v>
      </c>
      <c r="B53" s="24" t="s">
        <v>62</v>
      </c>
      <c r="C53" s="60">
        <f>IFERROR((C19-B19)*4/B25,0)</f>
        <v>51.029845976505584</v>
      </c>
      <c r="D53" s="60">
        <f>IFERROR((D19-C19)*4/C25,0)</f>
        <v>29.270740536307308</v>
      </c>
      <c r="E53" s="60">
        <f>IFERROR((E19-D19)*4/D25,0)</f>
        <v>28.165749210408926</v>
      </c>
      <c r="F53" s="60">
        <f>IFERROR((F19-E19)*4/E25,0)</f>
        <v>16.825783437852124</v>
      </c>
      <c r="G53" s="2" t="s">
        <v>223</v>
      </c>
      <c r="H53" s="2" t="s">
        <v>224</v>
      </c>
    </row>
    <row r="54" spans="1:8" ht="14.25" customHeight="1">
      <c r="A54" s="1" t="s">
        <v>225</v>
      </c>
      <c r="B54" s="60">
        <f>IFERROR(MAX(0,-B29)/B19,0)</f>
        <v>0</v>
      </c>
      <c r="C54" s="60">
        <f>IFERROR(MAX(0,-C29)/(C19-B19),0)</f>
        <v>0</v>
      </c>
      <c r="D54" s="60">
        <f>IFERROR(MAX(0,-D29)/(D19-C19),0)</f>
        <v>0</v>
      </c>
      <c r="E54" s="60">
        <f>IFERROR(MAX(0,-E29)/(E19-D19),0)</f>
        <v>0</v>
      </c>
      <c r="F54" s="60">
        <f>IFERROR(MAX(0,-F29)/(F19-E19),0)</f>
        <v>0</v>
      </c>
      <c r="G54" s="2" t="s">
        <v>226</v>
      </c>
      <c r="H54" s="2" t="s">
        <v>227</v>
      </c>
    </row>
  </sheetData>
  <mergeCells count="7">
    <mergeCell ref="A34:H34"/>
    <mergeCell ref="A44:H44"/>
    <mergeCell ref="A1:G1"/>
    <mergeCell ref="A2:H2"/>
    <mergeCell ref="A4:H4"/>
    <mergeCell ref="A14:H14"/>
    <mergeCell ref="A16:H16"/>
  </mergeCells>
  <hyperlinks>
    <hyperlink ref="I1" location="'1. Master P&amp;L Summary'!A1" display="↑ P&amp;L" xr:uid="{00000000-0004-0000-0200-000000000000}"/>
    <hyperlink ref="P1" location="'1. Master P&amp;L Summary'!A1" display="↑ P&amp;L" xr:uid="{00000000-0004-0000-0200-000001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1"/>
  <sheetViews>
    <sheetView showGridLines="0" topLeftCell="A44" zoomScale="93" zoomScaleNormal="93" workbookViewId="0">
      <selection activeCell="B16" sqref="B16"/>
    </sheetView>
  </sheetViews>
  <sheetFormatPr defaultColWidth="8.69140625" defaultRowHeight="14.6"/>
  <cols>
    <col min="1" max="1" width="48" customWidth="1"/>
    <col min="2" max="2" width="16" customWidth="1"/>
    <col min="3" max="5" width="18" customWidth="1"/>
    <col min="6" max="6" width="32" customWidth="1"/>
    <col min="8" max="9" width="12" customWidth="1"/>
    <col min="16" max="16" width="14" customWidth="1"/>
  </cols>
  <sheetData>
    <row r="1" spans="1:16" ht="27.75" customHeight="1" thickBot="1">
      <c r="A1" s="213" t="s">
        <v>228</v>
      </c>
      <c r="B1" s="213"/>
      <c r="C1" s="213"/>
      <c r="D1" s="213"/>
      <c r="E1" s="213"/>
      <c r="F1" s="213"/>
      <c r="G1" s="213"/>
      <c r="H1" s="3"/>
      <c r="I1" s="4" t="s">
        <v>72</v>
      </c>
      <c r="P1" s="4" t="s">
        <v>72</v>
      </c>
    </row>
    <row r="2" spans="1:16" ht="14.25" customHeight="1">
      <c r="A2" s="195" t="s">
        <v>229</v>
      </c>
      <c r="B2" s="195"/>
      <c r="C2" s="195"/>
      <c r="D2" s="195"/>
      <c r="E2" s="195"/>
      <c r="F2" s="195"/>
    </row>
    <row r="4" spans="1:16" ht="14.25" customHeight="1">
      <c r="A4" s="192" t="s">
        <v>230</v>
      </c>
      <c r="B4" s="192"/>
      <c r="C4" s="192"/>
      <c r="D4" s="192"/>
      <c r="E4" s="192"/>
      <c r="F4" s="192"/>
    </row>
    <row r="5" spans="1:16" ht="14.25" customHeight="1">
      <c r="A5" s="216" t="s">
        <v>231</v>
      </c>
      <c r="B5" s="216"/>
      <c r="C5" s="216"/>
      <c r="D5" s="216"/>
      <c r="E5" s="216"/>
      <c r="F5" s="216"/>
    </row>
    <row r="7" spans="1:16" ht="14.25" customHeight="1">
      <c r="A7" s="61" t="s">
        <v>232</v>
      </c>
      <c r="B7" s="62">
        <v>0.08</v>
      </c>
      <c r="C7" s="216" t="s">
        <v>233</v>
      </c>
      <c r="D7" s="216"/>
      <c r="E7" s="216"/>
      <c r="F7" s="216"/>
    </row>
    <row r="8" spans="1:16" ht="14.25" customHeight="1">
      <c r="A8" s="61" t="s">
        <v>234</v>
      </c>
      <c r="B8" s="62">
        <v>0.13</v>
      </c>
      <c r="C8" s="216" t="s">
        <v>235</v>
      </c>
      <c r="D8" s="216"/>
      <c r="E8" s="216"/>
      <c r="F8" s="216"/>
    </row>
    <row r="9" spans="1:16" ht="14.25" customHeight="1">
      <c r="A9" s="61" t="s">
        <v>236</v>
      </c>
      <c r="B9" s="63">
        <v>0.7</v>
      </c>
      <c r="C9" s="216" t="s">
        <v>237</v>
      </c>
      <c r="D9" s="216"/>
      <c r="E9" s="216"/>
      <c r="F9" s="216"/>
    </row>
    <row r="10" spans="1:16" ht="14.25" customHeight="1">
      <c r="A10" s="61" t="s">
        <v>238</v>
      </c>
      <c r="B10" s="64">
        <f>1-B9</f>
        <v>0.30000000000000004</v>
      </c>
      <c r="C10" s="216" t="s">
        <v>239</v>
      </c>
      <c r="D10" s="216"/>
      <c r="E10" s="216"/>
      <c r="F10" s="216"/>
    </row>
    <row r="12" spans="1:16" ht="15.75" customHeight="1">
      <c r="A12" s="61" t="s">
        <v>240</v>
      </c>
      <c r="B12" s="65">
        <f>B7*B9+B8*B10</f>
        <v>9.5000000000000001E-2</v>
      </c>
    </row>
    <row r="14" spans="1:16" ht="14.25" customHeight="1">
      <c r="A14" s="192" t="s">
        <v>241</v>
      </c>
      <c r="B14" s="192"/>
      <c r="C14" s="192"/>
      <c r="D14" s="192"/>
      <c r="E14" s="192"/>
      <c r="F14" s="192"/>
    </row>
    <row r="15" spans="1:16" ht="14.25" customHeight="1">
      <c r="A15" s="1" t="s">
        <v>242</v>
      </c>
      <c r="B15" s="62">
        <v>5.0000000000000001E-3</v>
      </c>
      <c r="C15" s="215" t="s">
        <v>243</v>
      </c>
      <c r="D15" s="215"/>
      <c r="E15" s="215"/>
      <c r="F15" s="215"/>
    </row>
    <row r="16" spans="1:16" ht="14.25" customHeight="1">
      <c r="A16" s="1" t="s">
        <v>244</v>
      </c>
      <c r="B16" s="62">
        <v>5.0000000000000001E-3</v>
      </c>
      <c r="C16" s="215" t="s">
        <v>245</v>
      </c>
      <c r="D16" s="215"/>
      <c r="E16" s="215"/>
      <c r="F16" s="215"/>
    </row>
    <row r="17" spans="1:6" ht="14.25" customHeight="1">
      <c r="A17" s="1" t="s">
        <v>246</v>
      </c>
      <c r="B17" s="62">
        <v>2.5000000000000001E-3</v>
      </c>
      <c r="C17" s="215" t="s">
        <v>247</v>
      </c>
      <c r="D17" s="215"/>
      <c r="E17" s="215"/>
      <c r="F17" s="215"/>
    </row>
    <row r="18" spans="1:6" ht="14.25" customHeight="1">
      <c r="A18" s="1" t="s">
        <v>248</v>
      </c>
      <c r="B18" s="62">
        <v>5.0000000000000001E-3</v>
      </c>
      <c r="C18" s="215" t="s">
        <v>249</v>
      </c>
      <c r="D18" s="215"/>
      <c r="E18" s="215"/>
      <c r="F18" s="215"/>
    </row>
    <row r="19" spans="1:6" ht="14.25" customHeight="1">
      <c r="A19" s="1" t="s">
        <v>250</v>
      </c>
      <c r="B19" s="66">
        <v>7</v>
      </c>
      <c r="C19" s="215" t="s">
        <v>251</v>
      </c>
      <c r="D19" s="215"/>
      <c r="E19" s="215"/>
      <c r="F19" s="215"/>
    </row>
    <row r="20" spans="1:6" ht="14.25" customHeight="1">
      <c r="A20" s="1" t="s">
        <v>252</v>
      </c>
      <c r="B20" s="63">
        <v>0.1</v>
      </c>
      <c r="C20" s="215" t="s">
        <v>253</v>
      </c>
      <c r="D20" s="215"/>
      <c r="E20" s="215"/>
      <c r="F20" s="215"/>
    </row>
    <row r="21" spans="1:6" ht="14.25" customHeight="1">
      <c r="A21" s="1" t="s">
        <v>254</v>
      </c>
      <c r="B21" s="63">
        <v>0.08</v>
      </c>
      <c r="C21" s="215" t="s">
        <v>255</v>
      </c>
      <c r="D21" s="215"/>
      <c r="E21" s="215"/>
      <c r="F21" s="215"/>
    </row>
    <row r="22" spans="1:6" ht="14.25" customHeight="1">
      <c r="A22" s="1" t="s">
        <v>256</v>
      </c>
      <c r="B22" s="62">
        <v>2E-3</v>
      </c>
      <c r="C22" s="215" t="s">
        <v>257</v>
      </c>
      <c r="D22" s="215"/>
      <c r="E22" s="215"/>
      <c r="F22" s="215"/>
    </row>
    <row r="23" spans="1:6" ht="14.25" customHeight="1">
      <c r="A23" s="1" t="s">
        <v>258</v>
      </c>
      <c r="B23" s="62">
        <v>0.01</v>
      </c>
      <c r="C23" s="215" t="s">
        <v>259</v>
      </c>
      <c r="D23" s="215"/>
      <c r="E23" s="215"/>
      <c r="F23" s="215"/>
    </row>
    <row r="24" spans="1:6" ht="14.25" customHeight="1">
      <c r="A24" s="1" t="s">
        <v>260</v>
      </c>
      <c r="B24" s="66">
        <v>15</v>
      </c>
      <c r="C24" s="215" t="s">
        <v>261</v>
      </c>
      <c r="D24" s="215"/>
      <c r="E24" s="215"/>
      <c r="F24" s="215"/>
    </row>
    <row r="26" spans="1:6" ht="14.25" customHeight="1">
      <c r="A26" s="192" t="s">
        <v>262</v>
      </c>
      <c r="B26" s="192"/>
      <c r="C26" s="192"/>
      <c r="D26" s="192"/>
      <c r="E26" s="192"/>
      <c r="F26" s="192"/>
    </row>
    <row r="27" spans="1:6" ht="14.25" customHeight="1">
      <c r="A27" s="1" t="s">
        <v>263</v>
      </c>
      <c r="B27" s="63">
        <v>0.2</v>
      </c>
      <c r="C27" s="215" t="s">
        <v>264</v>
      </c>
      <c r="D27" s="215"/>
      <c r="E27" s="215"/>
      <c r="F27" s="215"/>
    </row>
    <row r="28" spans="1:6" ht="14.25" customHeight="1">
      <c r="A28" s="1" t="s">
        <v>265</v>
      </c>
      <c r="B28" s="66">
        <v>500</v>
      </c>
      <c r="C28" s="215" t="s">
        <v>266</v>
      </c>
      <c r="D28" s="215"/>
      <c r="E28" s="215"/>
      <c r="F28" s="215"/>
    </row>
    <row r="30" spans="1:6" ht="14.25" customHeight="1">
      <c r="A30" s="192" t="s">
        <v>267</v>
      </c>
      <c r="B30" s="192"/>
      <c r="C30" s="192"/>
      <c r="D30" s="192"/>
      <c r="E30" s="192"/>
      <c r="F30" s="192"/>
    </row>
    <row r="31" spans="1:6" ht="14.25" customHeight="1">
      <c r="A31" s="1" t="s">
        <v>268</v>
      </c>
      <c r="B31" s="66">
        <v>2800</v>
      </c>
      <c r="C31" s="215" t="s">
        <v>269</v>
      </c>
      <c r="D31" s="215"/>
      <c r="E31" s="215"/>
      <c r="F31" s="215"/>
    </row>
    <row r="32" spans="1:6" ht="14.25" customHeight="1">
      <c r="A32" s="1" t="s">
        <v>270</v>
      </c>
      <c r="B32" s="66">
        <v>1500</v>
      </c>
      <c r="C32" s="215" t="s">
        <v>271</v>
      </c>
      <c r="D32" s="215"/>
      <c r="E32" s="215"/>
      <c r="F32" s="215"/>
    </row>
    <row r="33" spans="1:6" ht="14.25" customHeight="1">
      <c r="A33" s="1" t="s">
        <v>272</v>
      </c>
      <c r="B33" s="66">
        <v>6500</v>
      </c>
      <c r="C33" s="215" t="s">
        <v>273</v>
      </c>
      <c r="D33" s="215"/>
      <c r="E33" s="215"/>
      <c r="F33" s="215"/>
    </row>
    <row r="34" spans="1:6" ht="14.25" customHeight="1">
      <c r="A34" s="1" t="s">
        <v>274</v>
      </c>
      <c r="B34" s="66">
        <v>5000</v>
      </c>
      <c r="C34" s="215" t="s">
        <v>275</v>
      </c>
      <c r="D34" s="215"/>
      <c r="E34" s="215"/>
      <c r="F34" s="215"/>
    </row>
    <row r="36" spans="1:6" ht="14.25" customHeight="1">
      <c r="A36" s="192" t="s">
        <v>276</v>
      </c>
      <c r="B36" s="192"/>
      <c r="C36" s="192"/>
      <c r="D36" s="192"/>
      <c r="E36" s="192"/>
      <c r="F36" s="192"/>
    </row>
    <row r="37" spans="1:6" ht="14.25" customHeight="1">
      <c r="A37" s="1" t="s">
        <v>277</v>
      </c>
      <c r="B37" s="66">
        <v>4842</v>
      </c>
      <c r="C37" s="215" t="s">
        <v>278</v>
      </c>
      <c r="D37" s="215"/>
      <c r="E37" s="215"/>
      <c r="F37" s="215"/>
    </row>
    <row r="38" spans="1:6" ht="14.25" customHeight="1">
      <c r="A38" s="1" t="s">
        <v>279</v>
      </c>
      <c r="B38" s="66">
        <v>79</v>
      </c>
      <c r="C38" s="215" t="s">
        <v>280</v>
      </c>
      <c r="D38" s="215"/>
      <c r="E38" s="215"/>
      <c r="F38" s="215"/>
    </row>
    <row r="39" spans="1:6" ht="14.25" customHeight="1">
      <c r="A39" s="1" t="s">
        <v>281</v>
      </c>
      <c r="B39" s="66">
        <f>B37*1.2</f>
        <v>5810.4</v>
      </c>
      <c r="C39" s="215" t="s">
        <v>282</v>
      </c>
      <c r="D39" s="215"/>
      <c r="E39" s="215"/>
      <c r="F39" s="215"/>
    </row>
    <row r="40" spans="1:6" ht="14.25" customHeight="1">
      <c r="A40" s="1" t="s">
        <v>283</v>
      </c>
      <c r="B40" s="66">
        <f>B38*1.3</f>
        <v>102.7</v>
      </c>
      <c r="C40" s="215" t="s">
        <v>284</v>
      </c>
      <c r="D40" s="215"/>
      <c r="E40" s="215"/>
      <c r="F40" s="215"/>
    </row>
    <row r="41" spans="1:6" ht="14.25" customHeight="1">
      <c r="A41" s="1" t="s">
        <v>285</v>
      </c>
      <c r="B41" s="67">
        <v>1472</v>
      </c>
      <c r="C41" s="215" t="s">
        <v>286</v>
      </c>
      <c r="D41" s="215"/>
      <c r="E41" s="215"/>
      <c r="F41" s="215"/>
    </row>
    <row r="42" spans="1:6" ht="14.25" customHeight="1">
      <c r="A42" s="1" t="s">
        <v>287</v>
      </c>
      <c r="B42" s="63">
        <v>0.1</v>
      </c>
      <c r="C42" s="215" t="s">
        <v>288</v>
      </c>
      <c r="D42" s="215"/>
      <c r="E42" s="215"/>
      <c r="F42" s="215"/>
    </row>
    <row r="45" spans="1:6" ht="14.25" customHeight="1">
      <c r="A45" s="187" t="s">
        <v>289</v>
      </c>
      <c r="B45" s="187"/>
      <c r="C45" s="187"/>
      <c r="D45" s="187"/>
      <c r="E45" s="187"/>
      <c r="F45" s="187"/>
    </row>
    <row r="46" spans="1:6" ht="14.25" customHeight="1">
      <c r="A46" s="190" t="s">
        <v>290</v>
      </c>
      <c r="B46" s="190"/>
      <c r="C46" s="190"/>
      <c r="D46" s="190"/>
      <c r="E46" s="190"/>
      <c r="F46" s="190"/>
    </row>
    <row r="48" spans="1:6" ht="14.25" customHeight="1">
      <c r="A48" s="214" t="s">
        <v>291</v>
      </c>
      <c r="B48" s="214"/>
      <c r="C48" s="214"/>
      <c r="D48" s="214"/>
      <c r="E48" s="214"/>
      <c r="F48" s="214"/>
    </row>
    <row r="49" spans="1:6" ht="14.25" customHeight="1">
      <c r="A49" s="68" t="s">
        <v>54</v>
      </c>
      <c r="B49" s="68" t="s">
        <v>292</v>
      </c>
      <c r="C49" s="68" t="s">
        <v>293</v>
      </c>
      <c r="D49" s="68"/>
      <c r="E49" s="68"/>
      <c r="F49" s="68"/>
    </row>
    <row r="50" spans="1:6" ht="14.25" customHeight="1">
      <c r="A50" s="30" t="s">
        <v>294</v>
      </c>
      <c r="B50" s="31">
        <f>'11. Founders — Inputs'!B5</f>
        <v>2000</v>
      </c>
      <c r="C50" s="32" t="s">
        <v>295</v>
      </c>
    </row>
    <row r="51" spans="1:6" ht="14.25" customHeight="1">
      <c r="A51" s="30" t="s">
        <v>68</v>
      </c>
      <c r="B51" s="31">
        <f>'13. Founders — Aggregate'!C11</f>
        <v>712</v>
      </c>
      <c r="C51" s="32" t="s">
        <v>296</v>
      </c>
    </row>
    <row r="52" spans="1:6" ht="14.25" customHeight="1">
      <c r="A52" s="30" t="s">
        <v>67</v>
      </c>
      <c r="B52" s="31">
        <f>'16. AGP — Math'!D16</f>
        <v>3785</v>
      </c>
      <c r="C52" s="32" t="s">
        <v>297</v>
      </c>
    </row>
    <row r="53" spans="1:6" ht="14.25" customHeight="1">
      <c r="A53" s="30" t="s">
        <v>298</v>
      </c>
      <c r="B53" s="31">
        <f>'18. AGP Sign-up — Math'!C18</f>
        <v>1625</v>
      </c>
      <c r="C53" s="32" t="s">
        <v>299</v>
      </c>
    </row>
    <row r="54" spans="1:6" ht="14.25" customHeight="1">
      <c r="A54" s="30" t="s">
        <v>300</v>
      </c>
      <c r="B54" s="31">
        <f>'18. AGP Sign-up — Math'!C12</f>
        <v>2500</v>
      </c>
      <c r="C54" s="32" t="s">
        <v>299</v>
      </c>
    </row>
    <row r="55" spans="1:6" ht="14.25" customHeight="1">
      <c r="A55" s="30" t="s">
        <v>84</v>
      </c>
      <c r="B55" s="31">
        <f>'11. Founders — Inputs'!B5+'16. AGP — Math'!D16</f>
        <v>5785</v>
      </c>
      <c r="C55" s="32" t="s">
        <v>55</v>
      </c>
    </row>
    <row r="57" spans="1:6" ht="14.25" customHeight="1">
      <c r="A57" s="214" t="s">
        <v>301</v>
      </c>
      <c r="B57" s="214"/>
      <c r="C57" s="214"/>
      <c r="D57" s="214"/>
      <c r="E57" s="214"/>
      <c r="F57" s="214"/>
    </row>
    <row r="58" spans="1:6" ht="14.25" customHeight="1">
      <c r="A58" s="68" t="s">
        <v>54</v>
      </c>
      <c r="B58" s="68" t="s">
        <v>292</v>
      </c>
      <c r="C58" s="68" t="s">
        <v>293</v>
      </c>
      <c r="D58" s="68"/>
      <c r="E58" s="68"/>
      <c r="F58" s="68"/>
    </row>
    <row r="59" spans="1:6" ht="14.25" customHeight="1">
      <c r="A59" s="30" t="s">
        <v>302</v>
      </c>
      <c r="B59" s="33">
        <f>SUMPRODUCT('11. Founders — Inputs'!C14:C18,'13. Founders — Aggregate'!C5:C9)</f>
        <v>7150000</v>
      </c>
      <c r="C59" s="32" t="s">
        <v>303</v>
      </c>
    </row>
    <row r="60" spans="1:6" ht="14.25" customHeight="1">
      <c r="A60" s="30" t="s">
        <v>304</v>
      </c>
      <c r="B60" s="33">
        <f>'16. AGP — Math'!F27+'18. AGP Sign-up — Math'!G12</f>
        <v>24317770</v>
      </c>
      <c r="C60" s="32" t="s">
        <v>305</v>
      </c>
    </row>
    <row r="61" spans="1:6" ht="14.25" customHeight="1">
      <c r="A61" s="30" t="s">
        <v>306</v>
      </c>
      <c r="B61" s="33">
        <f>('17. AGP Sign-up — Inputs'!B16*(1-'17. AGP Sign-up — Inputs'!B17))*B27*B28</f>
        <v>87500</v>
      </c>
      <c r="C61" s="32" t="s">
        <v>307</v>
      </c>
    </row>
    <row r="62" spans="1:6" ht="15" customHeight="1">
      <c r="A62" s="36" t="s">
        <v>308</v>
      </c>
      <c r="B62" s="37">
        <f>SUMPRODUCT('11. Founders — Inputs'!C14:C18,'13. Founders — Aggregate'!C5:C9)+'16. AGP — Math'!F27+'18. AGP Sign-up — Math'!G12+('17. AGP Sign-up — Inputs'!B16*(1-'17. AGP Sign-up — Inputs'!B17))*B27*B28</f>
        <v>31555270</v>
      </c>
      <c r="C62" s="32" t="s">
        <v>309</v>
      </c>
    </row>
    <row r="64" spans="1:6" ht="14.25" customHeight="1">
      <c r="A64" s="214" t="s">
        <v>310</v>
      </c>
      <c r="B64" s="214"/>
      <c r="C64" s="214"/>
      <c r="D64" s="214"/>
      <c r="E64" s="214"/>
      <c r="F64" s="214"/>
    </row>
    <row r="65" spans="1:6" ht="14.25" customHeight="1">
      <c r="A65" s="68" t="s">
        <v>311</v>
      </c>
      <c r="B65" s="68" t="s">
        <v>58</v>
      </c>
      <c r="C65" s="68" t="s">
        <v>56</v>
      </c>
      <c r="D65" s="68"/>
      <c r="E65" s="68"/>
      <c r="F65" s="68"/>
    </row>
    <row r="66" spans="1:6" ht="14.25" customHeight="1">
      <c r="A66" s="30" t="s">
        <v>95</v>
      </c>
      <c r="B66" s="33">
        <f>'1. P&amp;L Summary'!D7</f>
        <v>679250</v>
      </c>
      <c r="C66" s="69">
        <f>B66/'1. P&amp;L Summary'!D18</f>
        <v>0.21967850794956104</v>
      </c>
    </row>
    <row r="67" spans="1:6" ht="14.25" customHeight="1">
      <c r="A67" s="30" t="s">
        <v>96</v>
      </c>
      <c r="B67" s="33">
        <f>'1. P&amp;L Summary'!D8</f>
        <v>2310188.15</v>
      </c>
      <c r="C67" s="69">
        <f>B67/'1. P&amp;L Summary'!D18</f>
        <v>0.74714565458190163</v>
      </c>
    </row>
    <row r="68" spans="1:6" ht="14.25" customHeight="1">
      <c r="A68" s="30" t="s">
        <v>97</v>
      </c>
      <c r="B68" s="33">
        <f>'1. P&amp;L Summary'!D9</f>
        <v>8312.5</v>
      </c>
      <c r="C68" s="69">
        <f>B68/'1. P&amp;L Summary'!D18</f>
        <v>2.6883733490330897E-3</v>
      </c>
    </row>
    <row r="69" spans="1:6" ht="14.25" customHeight="1">
      <c r="A69" s="30" t="s">
        <v>98</v>
      </c>
      <c r="B69" s="33">
        <f>'1. P&amp;L Summary'!D12</f>
        <v>58838.8</v>
      </c>
      <c r="C69" s="69">
        <f>B69/'1. P&amp;L Summary'!D18</f>
        <v>1.9029252548461734E-2</v>
      </c>
    </row>
    <row r="70" spans="1:6" ht="14.25" customHeight="1">
      <c r="A70" s="30" t="s">
        <v>99</v>
      </c>
      <c r="B70" s="33">
        <f>'1. P&amp;L Summary'!D13</f>
        <v>1500</v>
      </c>
      <c r="C70" s="69">
        <f>B70/'1. P&amp;L Summary'!D18</f>
        <v>4.8512000283303878E-4</v>
      </c>
    </row>
    <row r="71" spans="1:6" ht="14.25" customHeight="1">
      <c r="A71" s="30" t="s">
        <v>100</v>
      </c>
      <c r="B71" s="33">
        <f>'1. P&amp;L Summary'!D14</f>
        <v>31794</v>
      </c>
      <c r="C71" s="69">
        <f>B71/'1. P&amp;L Summary'!D18</f>
        <v>1.028260358004909E-2</v>
      </c>
    </row>
    <row r="72" spans="1:6" ht="14.25" customHeight="1">
      <c r="A72" s="30" t="s">
        <v>101</v>
      </c>
      <c r="B72" s="33">
        <f>'1. P&amp;L Summary'!D15</f>
        <v>2135.0016000000001</v>
      </c>
      <c r="C72" s="69">
        <f>B72/'1. P&amp;L Summary'!D18</f>
        <v>6.9048798816036152E-4</v>
      </c>
    </row>
    <row r="73" spans="1:6" ht="15" customHeight="1">
      <c r="A73" s="36" t="s">
        <v>312</v>
      </c>
      <c r="B73" s="37">
        <f>'1. P&amp;L Summary'!D18</f>
        <v>3092018.4515999998</v>
      </c>
      <c r="C73" s="70">
        <v>1</v>
      </c>
    </row>
    <row r="75" spans="1:6" ht="14.25" customHeight="1">
      <c r="A75" s="214" t="s">
        <v>313</v>
      </c>
      <c r="B75" s="214"/>
      <c r="C75" s="214"/>
      <c r="D75" s="214"/>
      <c r="E75" s="214"/>
      <c r="F75" s="214"/>
    </row>
    <row r="76" spans="1:6" ht="14.25" customHeight="1">
      <c r="A76" s="68" t="s">
        <v>54</v>
      </c>
      <c r="B76" s="68" t="s">
        <v>292</v>
      </c>
      <c r="C76" s="68" t="s">
        <v>293</v>
      </c>
      <c r="D76" s="68"/>
      <c r="E76" s="68"/>
      <c r="F76" s="68"/>
    </row>
    <row r="77" spans="1:6" ht="14.25" customHeight="1">
      <c r="A77" s="30" t="s">
        <v>92</v>
      </c>
      <c r="B77" s="34">
        <f>B78/B79</f>
        <v>9.7987386943607188E-2</v>
      </c>
      <c r="C77" s="32" t="s">
        <v>314</v>
      </c>
    </row>
    <row r="78" spans="1:6" ht="14.25" customHeight="1">
      <c r="A78" s="30" t="s">
        <v>315</v>
      </c>
      <c r="B78" s="33">
        <f>'1. P&amp;L Summary'!D18</f>
        <v>3092018.4515999998</v>
      </c>
      <c r="C78" s="32" t="s">
        <v>316</v>
      </c>
    </row>
    <row r="79" spans="1:6" ht="14.25" customHeight="1">
      <c r="A79" s="30" t="s">
        <v>317</v>
      </c>
      <c r="B79" s="33">
        <f>SUMPRODUCT('11. Founders — Inputs'!C14:C18,'13. Founders — Aggregate'!C5:C9)+'16. AGP — Math'!F27+'18. AGP Sign-up — Math'!G12+('17. AGP Sign-up — Inputs'!B16*(1-'17. AGP Sign-up — Inputs'!B17))*B27*B28</f>
        <v>31555270</v>
      </c>
      <c r="C79" s="32" t="s">
        <v>309</v>
      </c>
    </row>
    <row r="80" spans="1:6" ht="14.25" customHeight="1">
      <c r="A80" s="30" t="s">
        <v>318</v>
      </c>
      <c r="B80" s="33">
        <f>'1. P&amp;L Summary'!D53</f>
        <v>2110595.2015999998</v>
      </c>
      <c r="C80" s="32" t="s">
        <v>319</v>
      </c>
    </row>
    <row r="81" spans="1:3" ht="14.25" customHeight="1">
      <c r="A81" s="30" t="s">
        <v>320</v>
      </c>
      <c r="B81" s="34">
        <f>'1. P&amp;L Summary'!D53/'1. P&amp;L Summary'!D18</f>
        <v>0.68259463345305993</v>
      </c>
      <c r="C81" s="32" t="s">
        <v>321</v>
      </c>
    </row>
  </sheetData>
  <mergeCells count="40">
    <mergeCell ref="A1:G1"/>
    <mergeCell ref="A2:F2"/>
    <mergeCell ref="A4:F4"/>
    <mergeCell ref="A5:F5"/>
    <mergeCell ref="C7:F7"/>
    <mergeCell ref="C8:F8"/>
    <mergeCell ref="C9:F9"/>
    <mergeCell ref="C10:F10"/>
    <mergeCell ref="A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26:F26"/>
    <mergeCell ref="C27:F27"/>
    <mergeCell ref="C28:F28"/>
    <mergeCell ref="A30:F30"/>
    <mergeCell ref="C31:F31"/>
    <mergeCell ref="C32:F32"/>
    <mergeCell ref="C33:F33"/>
    <mergeCell ref="C34:F34"/>
    <mergeCell ref="A36:F36"/>
    <mergeCell ref="C37:F37"/>
    <mergeCell ref="C38:F38"/>
    <mergeCell ref="C39:F39"/>
    <mergeCell ref="C40:F40"/>
    <mergeCell ref="C41:F41"/>
    <mergeCell ref="C42:F42"/>
    <mergeCell ref="A45:F45"/>
    <mergeCell ref="A46:F46"/>
    <mergeCell ref="A48:F48"/>
    <mergeCell ref="A57:F57"/>
    <mergeCell ref="A64:F64"/>
    <mergeCell ref="A75:F75"/>
  </mergeCells>
  <hyperlinks>
    <hyperlink ref="I1" location="'1. Master P&amp;L Summary'!A1" display="↑ P&amp;L" xr:uid="{00000000-0004-0000-0300-000000000000}"/>
    <hyperlink ref="P1" location="'1. Master P&amp;L Summary'!A1" display="↑ P&amp;L" xr:uid="{00000000-0004-0000-0300-000001000000}"/>
  </hyperlink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4"/>
  <sheetViews>
    <sheetView showGridLines="0" topLeftCell="A36" zoomScale="93" zoomScaleNormal="93" workbookViewId="0">
      <selection activeCell="E60" sqref="E60"/>
    </sheetView>
  </sheetViews>
  <sheetFormatPr defaultColWidth="8.69140625" defaultRowHeight="14.6"/>
  <cols>
    <col min="1" max="1" width="38" customWidth="1"/>
    <col min="2" max="7" width="14" customWidth="1"/>
    <col min="8" max="8" width="3" customWidth="1"/>
    <col min="9" max="9" width="15.69140625" customWidth="1"/>
    <col min="10" max="10" width="16" customWidth="1"/>
    <col min="11" max="11" width="14" customWidth="1"/>
    <col min="12" max="13" width="12" customWidth="1"/>
    <col min="16" max="16" width="14" customWidth="1"/>
  </cols>
  <sheetData>
    <row r="1" spans="1:16" ht="27.75" customHeight="1" thickBot="1">
      <c r="A1" s="184" t="s">
        <v>322</v>
      </c>
      <c r="B1" s="184"/>
      <c r="C1" s="184"/>
      <c r="D1" s="184"/>
      <c r="E1" s="184"/>
      <c r="F1" s="184"/>
      <c r="G1" s="184"/>
      <c r="I1" s="4" t="s">
        <v>72</v>
      </c>
      <c r="L1" s="3"/>
      <c r="P1" s="4" t="s">
        <v>72</v>
      </c>
    </row>
    <row r="2" spans="1:16" ht="14.25" customHeight="1">
      <c r="A2" s="195" t="s">
        <v>323</v>
      </c>
      <c r="B2" s="195"/>
      <c r="C2" s="195"/>
      <c r="D2" s="195"/>
      <c r="E2" s="195"/>
      <c r="F2" s="195"/>
      <c r="G2" s="195"/>
      <c r="H2" s="195"/>
    </row>
    <row r="4" spans="1:16" ht="14.25" customHeight="1">
      <c r="A4" s="192" t="s">
        <v>324</v>
      </c>
      <c r="B4" s="192"/>
      <c r="C4" s="192"/>
      <c r="D4" s="192"/>
      <c r="E4" s="192"/>
      <c r="F4" s="192"/>
      <c r="G4" s="192"/>
    </row>
    <row r="5" spans="1:16" ht="14.25" customHeight="1">
      <c r="A5" s="61" t="s">
        <v>325</v>
      </c>
      <c r="B5" s="71" t="s">
        <v>326</v>
      </c>
      <c r="C5" s="216" t="s">
        <v>327</v>
      </c>
      <c r="D5" s="216"/>
      <c r="E5" s="216"/>
      <c r="F5" s="216"/>
      <c r="G5" s="216"/>
      <c r="H5" s="216"/>
    </row>
    <row r="6" spans="1:16" ht="14.25" customHeight="1">
      <c r="A6" s="61" t="s">
        <v>328</v>
      </c>
      <c r="B6" s="72">
        <f>IF(B5="g",1/31.1035,IF(B5="돈",3.75/31.1035,1))</f>
        <v>1</v>
      </c>
      <c r="C6" s="216" t="s">
        <v>329</v>
      </c>
      <c r="D6" s="216"/>
      <c r="E6" s="216"/>
      <c r="F6" s="216"/>
      <c r="G6" s="216"/>
      <c r="H6" s="216"/>
    </row>
    <row r="7" spans="1:16" ht="14.25" customHeight="1">
      <c r="A7" s="61" t="s">
        <v>330</v>
      </c>
      <c r="B7" s="53">
        <f>'4. Pricing Levers'!B41</f>
        <v>1472</v>
      </c>
      <c r="C7" s="216" t="s">
        <v>331</v>
      </c>
      <c r="D7" s="216"/>
      <c r="E7" s="216"/>
      <c r="F7" s="216"/>
      <c r="G7" s="216"/>
      <c r="H7" s="216"/>
    </row>
    <row r="9" spans="1:16" ht="14.25" customHeight="1">
      <c r="A9" s="192" t="s">
        <v>332</v>
      </c>
      <c r="B9" s="192"/>
      <c r="C9" s="192"/>
      <c r="D9" s="192"/>
      <c r="E9" s="192"/>
      <c r="F9" s="192"/>
      <c r="G9" s="192"/>
    </row>
    <row r="10" spans="1:16" ht="14.25" customHeight="1">
      <c r="A10" s="5" t="s">
        <v>293</v>
      </c>
      <c r="B10" s="5" t="s">
        <v>333</v>
      </c>
      <c r="C10" s="5" t="s">
        <v>334</v>
      </c>
      <c r="D10" s="5" t="s">
        <v>335</v>
      </c>
      <c r="E10" s="5" t="s">
        <v>336</v>
      </c>
      <c r="F10" s="5" t="s">
        <v>57</v>
      </c>
    </row>
    <row r="11" spans="1:16" ht="14.25" customHeight="1">
      <c r="A11" s="1" t="s">
        <v>337</v>
      </c>
      <c r="B11" s="6">
        <f>'4. Pricing Levers'!B37</f>
        <v>4842</v>
      </c>
      <c r="C11" s="73">
        <f>B11*B7</f>
        <v>7127424</v>
      </c>
      <c r="D11" s="74">
        <f>B11*B6</f>
        <v>4842</v>
      </c>
      <c r="E11" s="73">
        <f>C11*B6</f>
        <v>7127424</v>
      </c>
      <c r="F11" s="2" t="s">
        <v>338</v>
      </c>
    </row>
    <row r="12" spans="1:16" ht="14.25" customHeight="1">
      <c r="A12" s="1" t="s">
        <v>339</v>
      </c>
      <c r="B12" s="6">
        <f>'4. Pricing Levers'!B39</f>
        <v>5810.4</v>
      </c>
      <c r="C12" s="73">
        <f>B12*B7</f>
        <v>8552908.7999999989</v>
      </c>
      <c r="D12" s="74">
        <f>B12*B6</f>
        <v>5810.4</v>
      </c>
      <c r="E12" s="73">
        <f>C12*B6</f>
        <v>8552908.7999999989</v>
      </c>
      <c r="F12" s="2" t="s">
        <v>340</v>
      </c>
    </row>
    <row r="14" spans="1:16" ht="14.25" customHeight="1">
      <c r="A14" s="1" t="s">
        <v>341</v>
      </c>
      <c r="B14" s="7">
        <f>B12-B11</f>
        <v>968.39999999999964</v>
      </c>
      <c r="C14" s="73">
        <f>B14*B7</f>
        <v>1425484.7999999993</v>
      </c>
      <c r="D14" s="75">
        <f>(B12-B11)/B11</f>
        <v>0.19999999999999993</v>
      </c>
      <c r="F14" s="2" t="s">
        <v>342</v>
      </c>
    </row>
    <row r="15" spans="1:16">
      <c r="B15" s="183"/>
    </row>
    <row r="16" spans="1:16" ht="14.25" customHeight="1">
      <c r="A16" s="217" t="s">
        <v>343</v>
      </c>
      <c r="B16" s="217"/>
      <c r="C16" s="217"/>
      <c r="D16" s="217"/>
      <c r="E16" s="217"/>
      <c r="F16" s="217"/>
      <c r="G16" s="217"/>
      <c r="H16" s="76"/>
      <c r="I16" s="76"/>
      <c r="J16" s="76"/>
      <c r="K16" s="76"/>
    </row>
    <row r="17" spans="1:11" ht="14.25" customHeight="1">
      <c r="A17" s="77" t="s">
        <v>344</v>
      </c>
      <c r="B17" s="77" t="s">
        <v>345</v>
      </c>
      <c r="C17" s="77" t="s">
        <v>333</v>
      </c>
      <c r="D17" s="77" t="s">
        <v>334</v>
      </c>
      <c r="E17" s="77" t="s">
        <v>346</v>
      </c>
      <c r="F17" s="77"/>
      <c r="G17" s="77"/>
      <c r="H17" s="76"/>
      <c r="I17" s="76"/>
      <c r="J17" s="76"/>
      <c r="K17" s="76"/>
    </row>
    <row r="18" spans="1:11" ht="14.25" customHeight="1">
      <c r="A18" s="78" t="s">
        <v>347</v>
      </c>
      <c r="B18" s="79">
        <f>'4. Pricing Levers'!B23</f>
        <v>0.01</v>
      </c>
      <c r="C18" s="80">
        <f t="shared" ref="C18:C23" si="0">B18*$B$11</f>
        <v>48.42</v>
      </c>
      <c r="D18" s="81">
        <f t="shared" ref="D18:D23" si="1">C18*$B$7</f>
        <v>71274.240000000005</v>
      </c>
      <c r="E18" s="82" t="s">
        <v>348</v>
      </c>
      <c r="F18" s="76"/>
      <c r="G18" s="76"/>
      <c r="H18" s="76"/>
      <c r="I18" s="76"/>
      <c r="J18" s="76"/>
      <c r="K18" s="76"/>
    </row>
    <row r="19" spans="1:11" ht="14.25" customHeight="1">
      <c r="A19" s="78" t="s">
        <v>349</v>
      </c>
      <c r="B19" s="79">
        <f>'4. Pricing Levers'!B17</f>
        <v>2.5000000000000001E-3</v>
      </c>
      <c r="C19" s="80">
        <f t="shared" si="0"/>
        <v>12.105</v>
      </c>
      <c r="D19" s="81">
        <f t="shared" si="1"/>
        <v>17818.560000000001</v>
      </c>
      <c r="E19" s="82" t="s">
        <v>350</v>
      </c>
      <c r="F19" s="76"/>
      <c r="G19" s="76"/>
      <c r="H19" s="76"/>
      <c r="I19" s="76"/>
      <c r="J19" s="76"/>
      <c r="K19" s="76"/>
    </row>
    <row r="20" spans="1:11" ht="14.25" customHeight="1">
      <c r="A20" s="78" t="s">
        <v>351</v>
      </c>
      <c r="B20" s="79">
        <v>2E-3</v>
      </c>
      <c r="C20" s="80">
        <f t="shared" si="0"/>
        <v>9.6840000000000011</v>
      </c>
      <c r="D20" s="81">
        <f t="shared" si="1"/>
        <v>14254.848000000002</v>
      </c>
      <c r="E20" s="82" t="s">
        <v>352</v>
      </c>
      <c r="F20" s="76"/>
      <c r="G20" s="76"/>
      <c r="H20" s="76"/>
      <c r="I20" s="76"/>
      <c r="J20" s="76"/>
      <c r="K20" s="76"/>
    </row>
    <row r="21" spans="1:11" ht="14.25" customHeight="1">
      <c r="A21" s="78" t="s">
        <v>353</v>
      </c>
      <c r="B21" s="79">
        <v>1E-3</v>
      </c>
      <c r="C21" s="80">
        <f t="shared" si="0"/>
        <v>4.8420000000000005</v>
      </c>
      <c r="D21" s="81">
        <f t="shared" si="1"/>
        <v>7127.4240000000009</v>
      </c>
      <c r="E21" s="82" t="s">
        <v>354</v>
      </c>
      <c r="F21" s="76"/>
      <c r="G21" s="76"/>
      <c r="H21" s="76"/>
      <c r="I21" s="76"/>
      <c r="J21" s="76"/>
      <c r="K21" s="76"/>
    </row>
    <row r="22" spans="1:11" ht="15.75" customHeight="1">
      <c r="A22" s="78" t="s">
        <v>355</v>
      </c>
      <c r="B22" s="79">
        <f>'4. Pricing Levers'!B7-B18-B19-B20-B21</f>
        <v>6.4500000000000002E-2</v>
      </c>
      <c r="C22" s="80">
        <f t="shared" si="0"/>
        <v>312.30900000000003</v>
      </c>
      <c r="D22" s="81">
        <f t="shared" si="1"/>
        <v>459718.84800000006</v>
      </c>
      <c r="E22" s="82" t="s">
        <v>356</v>
      </c>
      <c r="F22" s="76"/>
      <c r="G22" s="76"/>
      <c r="H22" s="76"/>
      <c r="I22" s="76"/>
      <c r="J22" s="76"/>
      <c r="K22" s="76"/>
    </row>
    <row r="23" spans="1:11" ht="14.25" customHeight="1">
      <c r="A23" s="83" t="s">
        <v>357</v>
      </c>
      <c r="B23" s="84">
        <f>'4. Pricing Levers'!B7</f>
        <v>0.08</v>
      </c>
      <c r="C23" s="85">
        <f t="shared" si="0"/>
        <v>387.36</v>
      </c>
      <c r="D23" s="86">
        <f t="shared" si="1"/>
        <v>570193.92000000004</v>
      </c>
      <c r="E23" s="82" t="s">
        <v>358</v>
      </c>
      <c r="F23" s="76"/>
      <c r="G23" s="76"/>
      <c r="H23" s="76"/>
      <c r="I23" s="76"/>
      <c r="J23" s="76"/>
      <c r="K23" s="76"/>
    </row>
    <row r="24" spans="1:11" ht="14.25" customHeight="1">
      <c r="A24" s="87" t="s">
        <v>359</v>
      </c>
      <c r="B24" s="88">
        <f>SUM(B18:B22)-B23</f>
        <v>0</v>
      </c>
      <c r="C24" s="76"/>
      <c r="D24" s="76"/>
      <c r="E24" s="82" t="s">
        <v>360</v>
      </c>
      <c r="F24" s="76"/>
      <c r="G24" s="76"/>
      <c r="H24" s="76"/>
      <c r="I24" s="76"/>
      <c r="J24" s="76"/>
      <c r="K24" s="76"/>
    </row>
    <row r="25" spans="1:11" ht="14.25" customHeight="1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</row>
    <row r="26" spans="1:11" ht="14.25" customHeight="1">
      <c r="A26" s="217" t="s">
        <v>361</v>
      </c>
      <c r="B26" s="217"/>
      <c r="C26" s="217"/>
      <c r="D26" s="217"/>
      <c r="E26" s="217"/>
      <c r="F26" s="217"/>
      <c r="G26" s="217"/>
      <c r="H26" s="76"/>
      <c r="I26" s="76"/>
      <c r="J26" s="76"/>
      <c r="K26" s="76"/>
    </row>
    <row r="27" spans="1:11" ht="14.25" customHeight="1">
      <c r="A27" s="77" t="s">
        <v>362</v>
      </c>
      <c r="B27" s="77" t="s">
        <v>333</v>
      </c>
      <c r="C27" s="77" t="s">
        <v>334</v>
      </c>
      <c r="D27" s="77" t="s">
        <v>335</v>
      </c>
      <c r="E27" s="77" t="s">
        <v>336</v>
      </c>
      <c r="F27" s="77" t="s">
        <v>57</v>
      </c>
      <c r="G27" s="77"/>
      <c r="H27" s="76"/>
      <c r="I27" s="76"/>
      <c r="J27" s="76"/>
      <c r="K27" s="76"/>
    </row>
    <row r="28" spans="1:11" ht="14.25" customHeight="1">
      <c r="A28" s="89" t="s">
        <v>337</v>
      </c>
      <c r="B28" s="80">
        <f>B11</f>
        <v>4842</v>
      </c>
      <c r="C28" s="81">
        <f>B28*$B$7</f>
        <v>7127424</v>
      </c>
      <c r="D28" s="80">
        <f t="shared" ref="D28:E31" si="2">B28*$B$6</f>
        <v>4842</v>
      </c>
      <c r="E28" s="81">
        <f t="shared" si="2"/>
        <v>7127424</v>
      </c>
      <c r="F28" s="90" t="s">
        <v>363</v>
      </c>
      <c r="G28" s="76"/>
      <c r="H28" s="76"/>
      <c r="I28" s="76"/>
      <c r="J28" s="76"/>
      <c r="K28" s="76"/>
    </row>
    <row r="29" spans="1:11" ht="14.25" customHeight="1">
      <c r="A29" s="89" t="s">
        <v>364</v>
      </c>
      <c r="B29" s="80">
        <f>B11*'4. Pricing Levers'!B23</f>
        <v>48.42</v>
      </c>
      <c r="C29" s="81">
        <f>B29*$B$7</f>
        <v>71274.240000000005</v>
      </c>
      <c r="D29" s="80">
        <f t="shared" si="2"/>
        <v>48.42</v>
      </c>
      <c r="E29" s="81">
        <f t="shared" si="2"/>
        <v>71274.240000000005</v>
      </c>
      <c r="F29" s="90" t="s">
        <v>365</v>
      </c>
      <c r="G29" s="76"/>
      <c r="H29" s="76"/>
      <c r="I29" s="76"/>
      <c r="J29" s="76"/>
      <c r="K29" s="76"/>
    </row>
    <row r="30" spans="1:11" ht="15.75" customHeight="1">
      <c r="A30" s="91" t="s">
        <v>366</v>
      </c>
      <c r="B30" s="85">
        <f>B28+B29</f>
        <v>4890.42</v>
      </c>
      <c r="C30" s="86">
        <f>B30*$B$7</f>
        <v>7198698.2400000002</v>
      </c>
      <c r="D30" s="85">
        <f t="shared" si="2"/>
        <v>4890.42</v>
      </c>
      <c r="E30" s="86">
        <f t="shared" si="2"/>
        <v>7198698.2400000002</v>
      </c>
      <c r="F30" s="90" t="s">
        <v>367</v>
      </c>
      <c r="G30" s="76"/>
      <c r="H30" s="76"/>
      <c r="I30" s="76"/>
      <c r="J30" s="76"/>
      <c r="K30" s="76"/>
    </row>
    <row r="31" spans="1:11" ht="14.25" customHeight="1">
      <c r="A31" s="89" t="s">
        <v>368</v>
      </c>
      <c r="B31" s="80">
        <f>B11*'4. Pricing Levers'!B7</f>
        <v>387.36</v>
      </c>
      <c r="C31" s="81">
        <f>B31*$B$7</f>
        <v>570193.92000000004</v>
      </c>
      <c r="D31" s="80">
        <f t="shared" si="2"/>
        <v>387.36</v>
      </c>
      <c r="E31" s="81">
        <f t="shared" si="2"/>
        <v>570193.92000000004</v>
      </c>
      <c r="F31" s="90" t="s">
        <v>369</v>
      </c>
      <c r="G31" s="76"/>
      <c r="H31" s="76"/>
      <c r="I31" s="76"/>
      <c r="J31" s="76"/>
      <c r="K31" s="76"/>
    </row>
    <row r="32" spans="1:11" ht="14.25" customHeight="1">
      <c r="A32" s="76"/>
      <c r="B32" s="92"/>
      <c r="C32" s="92"/>
      <c r="D32" s="92"/>
      <c r="E32" s="92"/>
      <c r="F32" s="93"/>
      <c r="G32" s="76"/>
      <c r="H32" s="76"/>
      <c r="I32" s="76"/>
      <c r="J32" s="76"/>
      <c r="K32" s="76"/>
    </row>
    <row r="33" spans="1:11" ht="14.25" customHeight="1">
      <c r="A33" s="94" t="s">
        <v>370</v>
      </c>
      <c r="B33" s="95">
        <f>B30+B31</f>
        <v>5277.78</v>
      </c>
      <c r="C33" s="96">
        <f>B33*$B$7</f>
        <v>7768892.1599999992</v>
      </c>
      <c r="D33" s="95">
        <f t="shared" ref="D33:E35" si="3">B33*$B$6</f>
        <v>5277.78</v>
      </c>
      <c r="E33" s="96">
        <f t="shared" si="3"/>
        <v>7768892.1599999992</v>
      </c>
      <c r="F33" s="90" t="s">
        <v>371</v>
      </c>
      <c r="G33" s="76"/>
      <c r="H33" s="76"/>
      <c r="I33" s="76"/>
      <c r="J33" s="76"/>
      <c r="K33" s="76"/>
    </row>
    <row r="34" spans="1:11" ht="14.25" customHeight="1">
      <c r="A34" s="89" t="s">
        <v>339</v>
      </c>
      <c r="B34" s="80">
        <f>B12</f>
        <v>5810.4</v>
      </c>
      <c r="C34" s="81">
        <f>B34*$B$7</f>
        <v>8552908.7999999989</v>
      </c>
      <c r="D34" s="80">
        <f t="shared" si="3"/>
        <v>5810.4</v>
      </c>
      <c r="E34" s="81">
        <f t="shared" si="3"/>
        <v>8552908.7999999989</v>
      </c>
      <c r="F34" s="90" t="s">
        <v>372</v>
      </c>
      <c r="G34" s="76"/>
      <c r="H34" s="76"/>
      <c r="I34" s="76"/>
      <c r="J34" s="76"/>
      <c r="K34" s="76"/>
    </row>
    <row r="35" spans="1:11" ht="14.25" customHeight="1">
      <c r="A35" s="91" t="s">
        <v>373</v>
      </c>
      <c r="B35" s="85">
        <f>B34-B33</f>
        <v>532.61999999999989</v>
      </c>
      <c r="C35" s="86">
        <f>B35*$B$7</f>
        <v>784016.6399999999</v>
      </c>
      <c r="D35" s="85">
        <f t="shared" si="3"/>
        <v>532.61999999999989</v>
      </c>
      <c r="E35" s="86">
        <f t="shared" si="3"/>
        <v>784016.6399999999</v>
      </c>
      <c r="F35" s="90" t="s">
        <v>374</v>
      </c>
      <c r="G35" s="76"/>
      <c r="H35" s="76"/>
      <c r="I35" s="76"/>
      <c r="J35" s="76"/>
      <c r="K35" s="76"/>
    </row>
    <row r="36" spans="1:11" ht="15.75" customHeight="1">
      <c r="A36" s="89" t="s">
        <v>375</v>
      </c>
      <c r="B36" s="97">
        <f>B35/B34</f>
        <v>9.166666666666666E-2</v>
      </c>
      <c r="C36" s="98"/>
      <c r="D36" s="93"/>
      <c r="E36" s="98"/>
      <c r="F36" s="90" t="s">
        <v>376</v>
      </c>
      <c r="G36" s="76"/>
      <c r="H36" s="76"/>
      <c r="I36" s="76"/>
      <c r="J36" s="76"/>
      <c r="K36" s="76"/>
    </row>
    <row r="39" spans="1:11" ht="14.25" customHeight="1">
      <c r="A39" s="192" t="s">
        <v>377</v>
      </c>
      <c r="B39" s="192"/>
      <c r="C39" s="192"/>
      <c r="D39" s="192"/>
      <c r="E39" s="192"/>
      <c r="F39" s="192"/>
      <c r="G39" s="192"/>
    </row>
    <row r="40" spans="1:11" ht="28.5" customHeight="1">
      <c r="A40" s="5" t="s">
        <v>54</v>
      </c>
      <c r="B40" s="5" t="s">
        <v>333</v>
      </c>
      <c r="C40" s="5" t="s">
        <v>334</v>
      </c>
      <c r="D40" s="5" t="s">
        <v>378</v>
      </c>
    </row>
    <row r="41" spans="1:11" ht="14.25" customHeight="1">
      <c r="A41" s="1" t="s">
        <v>379</v>
      </c>
      <c r="B41" s="74">
        <f>B33</f>
        <v>5277.78</v>
      </c>
      <c r="C41" s="73">
        <f>B41*$B$7</f>
        <v>7768892.1599999992</v>
      </c>
      <c r="D41" s="8">
        <f>B41/B12</f>
        <v>0.90833333333333333</v>
      </c>
      <c r="J41" s="99" t="s">
        <v>293</v>
      </c>
      <c r="K41" s="100" t="s">
        <v>333</v>
      </c>
    </row>
    <row r="42" spans="1:11" ht="14.25" customHeight="1">
      <c r="A42" s="1" t="s">
        <v>380</v>
      </c>
      <c r="B42" s="74">
        <f>B12</f>
        <v>5810.4</v>
      </c>
      <c r="C42" s="73">
        <f>B42*$B$7</f>
        <v>8552908.7999999989</v>
      </c>
      <c r="D42" s="8">
        <f>1</f>
        <v>1</v>
      </c>
      <c r="J42" s="101" t="s">
        <v>381</v>
      </c>
      <c r="K42" s="102">
        <f>B33</f>
        <v>5277.78</v>
      </c>
    </row>
    <row r="43" spans="1:11" ht="14.25" customHeight="1">
      <c r="A43" s="25" t="s">
        <v>382</v>
      </c>
      <c r="B43" s="103">
        <f>B12-B33</f>
        <v>532.61999999999989</v>
      </c>
      <c r="C43" s="104">
        <f>B43*$B$7</f>
        <v>784016.6399999999</v>
      </c>
      <c r="D43" s="105">
        <f>B43/B12</f>
        <v>9.166666666666666E-2</v>
      </c>
      <c r="J43" s="101" t="s">
        <v>383</v>
      </c>
      <c r="K43" s="102">
        <f>B12</f>
        <v>5810.4</v>
      </c>
    </row>
    <row r="46" spans="1:11" ht="14.25" customHeight="1">
      <c r="A46" s="192" t="s">
        <v>384</v>
      </c>
      <c r="B46" s="192"/>
      <c r="C46" s="192"/>
      <c r="D46" s="192"/>
      <c r="E46" s="192"/>
      <c r="F46" s="192"/>
      <c r="G46" s="192"/>
    </row>
    <row r="47" spans="1:11" ht="36" customHeight="1">
      <c r="A47" s="5" t="s">
        <v>385</v>
      </c>
      <c r="B47" s="5" t="s">
        <v>386</v>
      </c>
      <c r="C47" s="5" t="s">
        <v>387</v>
      </c>
      <c r="D47" s="5" t="s">
        <v>388</v>
      </c>
      <c r="E47" s="5" t="s">
        <v>389</v>
      </c>
      <c r="F47" s="5" t="s">
        <v>61</v>
      </c>
      <c r="G47" s="5" t="s">
        <v>390</v>
      </c>
    </row>
    <row r="48" spans="1:11" ht="14.25" customHeight="1">
      <c r="A48" s="66">
        <v>500</v>
      </c>
      <c r="B48" s="106">
        <f>A48/B33</f>
        <v>9.4736802216083285E-2</v>
      </c>
      <c r="C48" s="7">
        <f>A48</f>
        <v>500</v>
      </c>
      <c r="D48" s="7">
        <f>B48*B30</f>
        <v>463.30275229357801</v>
      </c>
      <c r="E48" s="107">
        <f>C48-D48</f>
        <v>36.69724770642199</v>
      </c>
      <c r="F48" s="8">
        <f>E48/C48</f>
        <v>7.3394495412843985E-2</v>
      </c>
      <c r="G48" s="107">
        <f>B48*(B12-B33)</f>
        <v>50.458715596330272</v>
      </c>
    </row>
    <row r="49" spans="1:7" ht="14.25" customHeight="1">
      <c r="A49" s="66">
        <v>1000</v>
      </c>
      <c r="B49" s="106">
        <f>A49/B33</f>
        <v>0.18947360443216657</v>
      </c>
      <c r="C49" s="7">
        <f>A49</f>
        <v>1000</v>
      </c>
      <c r="D49" s="7">
        <f>B49*B30</f>
        <v>926.60550458715602</v>
      </c>
      <c r="E49" s="107">
        <f>C49-D49</f>
        <v>73.39449541284398</v>
      </c>
      <c r="F49" s="8">
        <f>E49/C49</f>
        <v>7.3394495412843985E-2</v>
      </c>
      <c r="G49" s="107">
        <f>B49*(B12-B33)</f>
        <v>100.91743119266054</v>
      </c>
    </row>
    <row r="50" spans="1:7" ht="14.25" customHeight="1">
      <c r="A50" s="66">
        <v>5000</v>
      </c>
      <c r="B50" s="106">
        <f>A50/B33</f>
        <v>0.94736802216083282</v>
      </c>
      <c r="C50" s="7">
        <f>A50</f>
        <v>5000</v>
      </c>
      <c r="D50" s="7">
        <f>B50*B30</f>
        <v>4633.0275229357803</v>
      </c>
      <c r="E50" s="107">
        <f>C50-D50</f>
        <v>366.97247706421967</v>
      </c>
      <c r="F50" s="8">
        <f>E50/C50</f>
        <v>7.339449541284393E-2</v>
      </c>
      <c r="G50" s="107">
        <f>B50*(B12-B33)</f>
        <v>504.58715596330268</v>
      </c>
    </row>
    <row r="51" spans="1:7" ht="14.25" customHeight="1">
      <c r="A51" s="66">
        <v>25000</v>
      </c>
      <c r="B51" s="106">
        <f>A51/B33</f>
        <v>4.736840110804164</v>
      </c>
      <c r="C51" s="7">
        <f>A51</f>
        <v>25000</v>
      </c>
      <c r="D51" s="7">
        <f>B51*B30</f>
        <v>23165.137614678901</v>
      </c>
      <c r="E51" s="107">
        <f>C51-D51</f>
        <v>1834.8623853210993</v>
      </c>
      <c r="F51" s="8">
        <f>E51/C51</f>
        <v>7.3394495412843971E-2</v>
      </c>
      <c r="G51" s="107">
        <f>B51*(B12-B33)</f>
        <v>2522.9357798165133</v>
      </c>
    </row>
    <row r="52" spans="1:7" ht="14.25" customHeight="1">
      <c r="A52" s="66">
        <v>100000</v>
      </c>
      <c r="B52" s="106">
        <f>A52/B33</f>
        <v>18.947360443216656</v>
      </c>
      <c r="C52" s="7">
        <f>A52</f>
        <v>100000</v>
      </c>
      <c r="D52" s="7">
        <f>B52*B30</f>
        <v>92660.550458715603</v>
      </c>
      <c r="E52" s="107">
        <f>C52-D52</f>
        <v>7339.4495412843971</v>
      </c>
      <c r="F52" s="8">
        <f>E52/C52</f>
        <v>7.3394495412843971E-2</v>
      </c>
      <c r="G52" s="107">
        <f>B52*(B12-B33)</f>
        <v>10091.743119266053</v>
      </c>
    </row>
    <row r="55" spans="1:7" ht="14.25" customHeight="1">
      <c r="A55" s="192" t="s">
        <v>391</v>
      </c>
      <c r="B55" s="192"/>
      <c r="C55" s="192"/>
      <c r="D55" s="192"/>
      <c r="E55" s="192"/>
      <c r="F55" s="192"/>
      <c r="G55" s="192"/>
    </row>
    <row r="56" spans="1:7" ht="28.5" customHeight="1">
      <c r="A56" s="5" t="s">
        <v>392</v>
      </c>
      <c r="B56" s="5" t="s">
        <v>393</v>
      </c>
      <c r="C56" s="5" t="s">
        <v>394</v>
      </c>
      <c r="D56" s="5" t="s">
        <v>395</v>
      </c>
      <c r="E56" s="5" t="s">
        <v>396</v>
      </c>
      <c r="F56" s="5" t="s">
        <v>397</v>
      </c>
    </row>
    <row r="57" spans="1:7" ht="14.25" customHeight="1">
      <c r="A57" s="62">
        <v>0.1</v>
      </c>
      <c r="B57" s="74">
        <f>B11*(1+A57)</f>
        <v>5326.2000000000007</v>
      </c>
      <c r="C57" s="74">
        <f>B57-B30</f>
        <v>435.78000000000065</v>
      </c>
      <c r="D57" s="8">
        <f t="shared" ref="D57:D64" si="4">C57/B57</f>
        <v>8.1818181818181929E-2</v>
      </c>
      <c r="E57" s="7">
        <f t="shared" ref="E57:E64" si="5">5000*C57/B57</f>
        <v>409.09090909090963</v>
      </c>
      <c r="F57" s="7">
        <f t="shared" ref="F57:F64" si="6">25000*C57/B57</f>
        <v>2045.4545454545482</v>
      </c>
    </row>
    <row r="58" spans="1:7" ht="14.25" customHeight="1">
      <c r="A58" s="62">
        <v>0.11</v>
      </c>
      <c r="B58" s="74">
        <f>B11*(1+A58)</f>
        <v>5374.6200000000008</v>
      </c>
      <c r="C58" s="74">
        <f>B58-B30</f>
        <v>484.20000000000073</v>
      </c>
      <c r="D58" s="8">
        <f t="shared" si="4"/>
        <v>9.0090090090090211E-2</v>
      </c>
      <c r="E58" s="7">
        <f t="shared" si="5"/>
        <v>450.45045045045106</v>
      </c>
      <c r="F58" s="7">
        <f t="shared" si="6"/>
        <v>2252.2522522522554</v>
      </c>
    </row>
    <row r="59" spans="1:7" ht="14.25" customHeight="1">
      <c r="A59" s="62"/>
      <c r="B59" s="74">
        <f>B11*(1+A59)</f>
        <v>4842</v>
      </c>
      <c r="C59" s="74">
        <f>B59-B30</f>
        <v>-48.420000000000073</v>
      </c>
      <c r="D59" s="8">
        <f t="shared" si="4"/>
        <v>-1.0000000000000016E-2</v>
      </c>
      <c r="E59" s="7">
        <f t="shared" si="5"/>
        <v>-50.000000000000071</v>
      </c>
      <c r="F59" s="7">
        <f t="shared" si="6"/>
        <v>-250.0000000000004</v>
      </c>
    </row>
    <row r="60" spans="1:7" ht="14.25" customHeight="1">
      <c r="A60" s="108">
        <v>0.08</v>
      </c>
      <c r="B60" s="109">
        <f>B11*(1+A60)</f>
        <v>5229.3600000000006</v>
      </c>
      <c r="C60" s="109">
        <f>B60-B30</f>
        <v>338.94000000000051</v>
      </c>
      <c r="D60" s="110">
        <f t="shared" si="4"/>
        <v>6.4814814814814908E-2</v>
      </c>
      <c r="E60" s="111">
        <f t="shared" si="5"/>
        <v>324.07407407407453</v>
      </c>
      <c r="F60" s="111">
        <f t="shared" si="6"/>
        <v>1620.3703703703727</v>
      </c>
    </row>
    <row r="61" spans="1:7" ht="14.25" customHeight="1">
      <c r="A61" s="62"/>
      <c r="B61" s="74">
        <f>B11*(1+A61)</f>
        <v>4842</v>
      </c>
      <c r="C61" s="74">
        <f>B61-B30</f>
        <v>-48.420000000000073</v>
      </c>
      <c r="D61" s="8">
        <f t="shared" si="4"/>
        <v>-1.0000000000000016E-2</v>
      </c>
      <c r="E61" s="7">
        <f t="shared" si="5"/>
        <v>-50.000000000000071</v>
      </c>
      <c r="F61" s="7">
        <f t="shared" si="6"/>
        <v>-250.0000000000004</v>
      </c>
    </row>
    <row r="62" spans="1:7" ht="14.25" customHeight="1">
      <c r="A62" s="62">
        <v>0.15</v>
      </c>
      <c r="B62" s="74">
        <f>B11*(1+A62)</f>
        <v>5568.2999999999993</v>
      </c>
      <c r="C62" s="74">
        <f>B62-B30</f>
        <v>677.8799999999992</v>
      </c>
      <c r="D62" s="8">
        <f t="shared" si="4"/>
        <v>0.12173913043478247</v>
      </c>
      <c r="E62" s="7">
        <f t="shared" si="5"/>
        <v>608.69565217391232</v>
      </c>
      <c r="F62" s="7">
        <f t="shared" si="6"/>
        <v>3043.4782608695623</v>
      </c>
    </row>
    <row r="63" spans="1:7" ht="14.25" customHeight="1">
      <c r="A63" s="62">
        <v>0.16</v>
      </c>
      <c r="B63" s="74">
        <f>B11*(1+A63)</f>
        <v>5616.7199999999993</v>
      </c>
      <c r="C63" s="74">
        <f>B63-B30</f>
        <v>726.29999999999927</v>
      </c>
      <c r="D63" s="8">
        <f t="shared" si="4"/>
        <v>0.1293103448275861</v>
      </c>
      <c r="E63" s="7">
        <f t="shared" si="5"/>
        <v>646.55172413793048</v>
      </c>
      <c r="F63" s="7">
        <f t="shared" si="6"/>
        <v>3232.7586206896522</v>
      </c>
    </row>
    <row r="64" spans="1:7" ht="14.25" customHeight="1">
      <c r="A64" s="62">
        <v>0.17</v>
      </c>
      <c r="B64" s="74">
        <f>B11*(1+A64)</f>
        <v>5665.1399999999994</v>
      </c>
      <c r="C64" s="74">
        <f>B64-B30</f>
        <v>774.71999999999935</v>
      </c>
      <c r="D64" s="8">
        <f t="shared" si="4"/>
        <v>0.13675213675213665</v>
      </c>
      <c r="E64" s="7">
        <f t="shared" si="5"/>
        <v>683.76068376068326</v>
      </c>
      <c r="F64" s="7">
        <f t="shared" si="6"/>
        <v>3418.8034188034167</v>
      </c>
    </row>
  </sheetData>
  <mergeCells count="11">
    <mergeCell ref="A2:H2"/>
    <mergeCell ref="A4:G4"/>
    <mergeCell ref="C5:H5"/>
    <mergeCell ref="C6:H6"/>
    <mergeCell ref="A46:G46"/>
    <mergeCell ref="A55:G55"/>
    <mergeCell ref="C7:H7"/>
    <mergeCell ref="A9:G9"/>
    <mergeCell ref="A16:G16"/>
    <mergeCell ref="A26:G26"/>
    <mergeCell ref="A39:G39"/>
  </mergeCells>
  <hyperlinks>
    <hyperlink ref="I1" location="'1. Master P&amp;L Summary'!A1" display="↑ P&amp;L" xr:uid="{00000000-0004-0000-0400-000000000000}"/>
    <hyperlink ref="P1" location="'1. Master P&amp;L Summary'!A1" display="↑ P&amp;L" xr:uid="{00000000-0004-0000-0400-000001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3"/>
  <sheetViews>
    <sheetView showGridLines="0" topLeftCell="A44" zoomScale="93" zoomScaleNormal="93" workbookViewId="0">
      <selection activeCell="A61" sqref="A61"/>
    </sheetView>
  </sheetViews>
  <sheetFormatPr defaultColWidth="8.69140625" defaultRowHeight="14.6"/>
  <cols>
    <col min="1" max="1" width="38" customWidth="1"/>
    <col min="2" max="7" width="14" customWidth="1"/>
    <col min="8" max="9" width="3" customWidth="1"/>
    <col min="10" max="10" width="16" customWidth="1"/>
    <col min="11" max="11" width="14" customWidth="1"/>
    <col min="12" max="13" width="12" customWidth="1"/>
    <col min="16" max="16" width="14" customWidth="1"/>
  </cols>
  <sheetData>
    <row r="1" spans="1:16" ht="27.75" customHeight="1" thickBot="1">
      <c r="A1" s="184" t="s">
        <v>398</v>
      </c>
      <c r="B1" s="184"/>
      <c r="C1" s="184"/>
      <c r="D1" s="184"/>
      <c r="E1" s="184"/>
      <c r="F1" s="184"/>
      <c r="G1" s="184"/>
      <c r="I1" s="4" t="s">
        <v>72</v>
      </c>
      <c r="L1" s="3"/>
      <c r="P1" s="4" t="s">
        <v>72</v>
      </c>
    </row>
    <row r="2" spans="1:16" ht="14.25" customHeight="1">
      <c r="A2" s="195" t="s">
        <v>399</v>
      </c>
      <c r="B2" s="195"/>
      <c r="C2" s="195"/>
      <c r="D2" s="195"/>
      <c r="E2" s="195"/>
      <c r="F2" s="195"/>
      <c r="G2" s="195"/>
      <c r="H2" s="195"/>
    </row>
    <row r="4" spans="1:16" ht="14.25" customHeight="1">
      <c r="A4" s="192" t="s">
        <v>324</v>
      </c>
      <c r="B4" s="192"/>
      <c r="C4" s="192"/>
      <c r="D4" s="192"/>
      <c r="E4" s="192"/>
      <c r="F4" s="192"/>
      <c r="G4" s="192"/>
    </row>
    <row r="5" spans="1:16" ht="14.25" customHeight="1">
      <c r="A5" s="61" t="s">
        <v>325</v>
      </c>
      <c r="B5" s="71" t="s">
        <v>326</v>
      </c>
      <c r="C5" s="216" t="s">
        <v>400</v>
      </c>
      <c r="D5" s="216"/>
      <c r="E5" s="216"/>
      <c r="F5" s="216"/>
      <c r="G5" s="216"/>
      <c r="H5" s="216"/>
    </row>
    <row r="6" spans="1:16" ht="14.25" customHeight="1">
      <c r="A6" s="61" t="s">
        <v>328</v>
      </c>
      <c r="B6" s="72">
        <f>IF(B5="g",1/31.1035,IF(B5="돈",3.75/31.1035,1))</f>
        <v>1</v>
      </c>
    </row>
    <row r="7" spans="1:16" ht="14.25" customHeight="1">
      <c r="A7" s="61" t="s">
        <v>330</v>
      </c>
      <c r="B7" s="53">
        <f>'4. Pricing Levers'!B41</f>
        <v>1472</v>
      </c>
    </row>
    <row r="9" spans="1:16" ht="14.25" customHeight="1">
      <c r="A9" s="192" t="s">
        <v>401</v>
      </c>
      <c r="B9" s="192"/>
      <c r="C9" s="192"/>
      <c r="D9" s="192"/>
      <c r="E9" s="192"/>
      <c r="F9" s="192"/>
      <c r="G9" s="192"/>
    </row>
    <row r="10" spans="1:16" ht="14.25" customHeight="1">
      <c r="A10" s="5" t="s">
        <v>293</v>
      </c>
      <c r="B10" s="5" t="s">
        <v>333</v>
      </c>
      <c r="C10" s="5" t="s">
        <v>334</v>
      </c>
      <c r="D10" s="5" t="s">
        <v>335</v>
      </c>
      <c r="E10" s="5" t="s">
        <v>336</v>
      </c>
      <c r="F10" s="5" t="s">
        <v>57</v>
      </c>
    </row>
    <row r="11" spans="1:16" ht="14.25" customHeight="1">
      <c r="A11" s="1" t="s">
        <v>402</v>
      </c>
      <c r="B11" s="112">
        <f>'4. Pricing Levers'!B38</f>
        <v>79</v>
      </c>
      <c r="C11" s="73">
        <f>B11*B7</f>
        <v>116288</v>
      </c>
      <c r="D11" s="74">
        <f>B11*B6</f>
        <v>79</v>
      </c>
      <c r="E11" s="73">
        <f>C11*B6</f>
        <v>116288</v>
      </c>
      <c r="F11" s="2" t="s">
        <v>403</v>
      </c>
    </row>
    <row r="12" spans="1:16" ht="14.25" customHeight="1">
      <c r="A12" s="1" t="s">
        <v>404</v>
      </c>
      <c r="B12" s="112">
        <f>'4. Pricing Levers'!B40</f>
        <v>102.7</v>
      </c>
      <c r="C12" s="73">
        <f>B12*B7</f>
        <v>151174.39999999999</v>
      </c>
      <c r="D12" s="74">
        <f>B12*B6</f>
        <v>102.7</v>
      </c>
      <c r="E12" s="73">
        <f>C12*B6</f>
        <v>151174.39999999999</v>
      </c>
      <c r="F12" s="2" t="s">
        <v>284</v>
      </c>
    </row>
    <row r="14" spans="1:16" ht="14.25" customHeight="1">
      <c r="A14" s="1" t="s">
        <v>341</v>
      </c>
      <c r="B14" s="74">
        <f>B12-B11</f>
        <v>23.700000000000003</v>
      </c>
      <c r="C14" s="73">
        <f>B14*B7</f>
        <v>34886.400000000001</v>
      </c>
      <c r="D14" s="75">
        <f>(B12-B11)/B11</f>
        <v>0.30000000000000004</v>
      </c>
      <c r="F14" s="2" t="s">
        <v>405</v>
      </c>
    </row>
    <row r="16" spans="1:16" ht="14.25" customHeight="1">
      <c r="A16" s="217" t="s">
        <v>406</v>
      </c>
      <c r="B16" s="217"/>
      <c r="C16" s="217"/>
      <c r="D16" s="217"/>
      <c r="E16" s="217"/>
      <c r="F16" s="217"/>
      <c r="G16" s="217"/>
      <c r="H16" s="76"/>
      <c r="I16" s="76"/>
      <c r="J16" s="76"/>
      <c r="K16" s="76"/>
    </row>
    <row r="17" spans="1:11" ht="14.25" customHeight="1">
      <c r="A17" s="77" t="s">
        <v>344</v>
      </c>
      <c r="B17" s="77" t="s">
        <v>345</v>
      </c>
      <c r="C17" s="77" t="s">
        <v>333</v>
      </c>
      <c r="D17" s="77" t="s">
        <v>334</v>
      </c>
      <c r="E17" s="77" t="s">
        <v>346</v>
      </c>
      <c r="F17" s="77"/>
      <c r="G17" s="77"/>
      <c r="H17" s="76"/>
      <c r="I17" s="76"/>
      <c r="J17" s="76"/>
      <c r="K17" s="76"/>
    </row>
    <row r="18" spans="1:11" ht="14.25" customHeight="1">
      <c r="A18" s="78" t="s">
        <v>347</v>
      </c>
      <c r="B18" s="79">
        <f>'4. Pricing Levers'!B23</f>
        <v>0.01</v>
      </c>
      <c r="C18" s="80">
        <f t="shared" ref="C18:C23" si="0">B18*$B$11</f>
        <v>0.79</v>
      </c>
      <c r="D18" s="81">
        <f t="shared" ref="D18:D23" si="1">C18*$B$7</f>
        <v>1162.8800000000001</v>
      </c>
      <c r="E18" s="82" t="s">
        <v>348</v>
      </c>
      <c r="F18" s="76"/>
      <c r="G18" s="76"/>
      <c r="H18" s="76"/>
      <c r="I18" s="76"/>
      <c r="J18" s="76"/>
      <c r="K18" s="76"/>
    </row>
    <row r="19" spans="1:11" ht="14.25" customHeight="1">
      <c r="A19" s="78" t="s">
        <v>349</v>
      </c>
      <c r="B19" s="79">
        <f>'4. Pricing Levers'!B17</f>
        <v>2.5000000000000001E-3</v>
      </c>
      <c r="C19" s="80">
        <f t="shared" si="0"/>
        <v>0.19750000000000001</v>
      </c>
      <c r="D19" s="81">
        <f t="shared" si="1"/>
        <v>290.72000000000003</v>
      </c>
      <c r="E19" s="82" t="s">
        <v>350</v>
      </c>
      <c r="F19" s="76"/>
      <c r="G19" s="76"/>
      <c r="H19" s="76"/>
      <c r="I19" s="76"/>
      <c r="J19" s="76"/>
      <c r="K19" s="76"/>
    </row>
    <row r="20" spans="1:11" ht="14.25" customHeight="1">
      <c r="A20" s="78" t="s">
        <v>351</v>
      </c>
      <c r="B20" s="79">
        <v>2E-3</v>
      </c>
      <c r="C20" s="80">
        <f t="shared" si="0"/>
        <v>0.158</v>
      </c>
      <c r="D20" s="81">
        <f t="shared" si="1"/>
        <v>232.57599999999999</v>
      </c>
      <c r="E20" s="82" t="s">
        <v>352</v>
      </c>
      <c r="F20" s="76"/>
      <c r="G20" s="76"/>
      <c r="H20" s="76"/>
      <c r="I20" s="76"/>
      <c r="J20" s="76"/>
      <c r="K20" s="76"/>
    </row>
    <row r="21" spans="1:11" ht="14.25" customHeight="1">
      <c r="A21" s="78" t="s">
        <v>353</v>
      </c>
      <c r="B21" s="79">
        <v>1E-3</v>
      </c>
      <c r="C21" s="80">
        <f t="shared" si="0"/>
        <v>7.9000000000000001E-2</v>
      </c>
      <c r="D21" s="81">
        <f t="shared" si="1"/>
        <v>116.288</v>
      </c>
      <c r="E21" s="82" t="s">
        <v>354</v>
      </c>
      <c r="F21" s="76"/>
      <c r="G21" s="76"/>
      <c r="H21" s="76"/>
      <c r="I21" s="76"/>
      <c r="J21" s="76"/>
      <c r="K21" s="76"/>
    </row>
    <row r="22" spans="1:11" ht="15.75" customHeight="1">
      <c r="A22" s="78" t="s">
        <v>355</v>
      </c>
      <c r="B22" s="79">
        <f>'4. Pricing Levers'!B8-B18-B19-B20-B21</f>
        <v>0.1145</v>
      </c>
      <c r="C22" s="80">
        <f t="shared" si="0"/>
        <v>9.0455000000000005</v>
      </c>
      <c r="D22" s="81">
        <f t="shared" si="1"/>
        <v>13314.976000000001</v>
      </c>
      <c r="E22" s="82" t="s">
        <v>356</v>
      </c>
      <c r="F22" s="76"/>
      <c r="G22" s="76"/>
      <c r="H22" s="76"/>
      <c r="I22" s="76"/>
      <c r="J22" s="76"/>
      <c r="K22" s="76"/>
    </row>
    <row r="23" spans="1:11" ht="14.25" customHeight="1">
      <c r="A23" s="83" t="s">
        <v>407</v>
      </c>
      <c r="B23" s="84">
        <f>'4. Pricing Levers'!B8</f>
        <v>0.13</v>
      </c>
      <c r="C23" s="85">
        <f t="shared" si="0"/>
        <v>10.27</v>
      </c>
      <c r="D23" s="86">
        <f t="shared" si="1"/>
        <v>15117.439999999999</v>
      </c>
      <c r="E23" s="82" t="s">
        <v>358</v>
      </c>
      <c r="F23" s="76"/>
      <c r="G23" s="76"/>
      <c r="H23" s="76"/>
      <c r="I23" s="76"/>
      <c r="J23" s="76"/>
      <c r="K23" s="76"/>
    </row>
    <row r="24" spans="1:11" ht="14.25" customHeight="1">
      <c r="A24" s="87" t="s">
        <v>359</v>
      </c>
      <c r="B24" s="88">
        <f>SUM(B18:B22)-B23</f>
        <v>0</v>
      </c>
      <c r="C24" s="76"/>
      <c r="D24" s="76"/>
      <c r="E24" s="82" t="s">
        <v>360</v>
      </c>
      <c r="F24" s="76"/>
      <c r="G24" s="76"/>
      <c r="H24" s="76"/>
      <c r="I24" s="76"/>
      <c r="J24" s="76"/>
      <c r="K24" s="76"/>
    </row>
    <row r="25" spans="1:11" ht="14.25" customHeight="1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</row>
    <row r="26" spans="1:11" ht="14.25" customHeight="1">
      <c r="A26" s="217" t="s">
        <v>408</v>
      </c>
      <c r="B26" s="217"/>
      <c r="C26" s="217"/>
      <c r="D26" s="217"/>
      <c r="E26" s="217"/>
      <c r="F26" s="217"/>
      <c r="G26" s="217"/>
      <c r="H26" s="76"/>
      <c r="I26" s="76"/>
      <c r="J26" s="76"/>
      <c r="K26" s="76"/>
    </row>
    <row r="27" spans="1:11" ht="14.25" customHeight="1">
      <c r="A27" s="77" t="s">
        <v>362</v>
      </c>
      <c r="B27" s="77" t="s">
        <v>333</v>
      </c>
      <c r="C27" s="77" t="s">
        <v>334</v>
      </c>
      <c r="D27" s="77" t="s">
        <v>335</v>
      </c>
      <c r="E27" s="77" t="s">
        <v>336</v>
      </c>
      <c r="F27" s="77" t="s">
        <v>57</v>
      </c>
      <c r="G27" s="77"/>
      <c r="H27" s="76"/>
      <c r="I27" s="76"/>
      <c r="J27" s="76"/>
      <c r="K27" s="76"/>
    </row>
    <row r="28" spans="1:11" ht="14.25" customHeight="1">
      <c r="A28" s="89" t="s">
        <v>402</v>
      </c>
      <c r="B28" s="80">
        <f>B11</f>
        <v>79</v>
      </c>
      <c r="C28" s="81">
        <f>B28*$B$7</f>
        <v>116288</v>
      </c>
      <c r="D28" s="80">
        <f t="shared" ref="D28:E31" si="2">B28*$B$6</f>
        <v>79</v>
      </c>
      <c r="E28" s="81">
        <f t="shared" si="2"/>
        <v>116288</v>
      </c>
      <c r="F28" s="90" t="s">
        <v>363</v>
      </c>
      <c r="G28" s="76"/>
      <c r="H28" s="76"/>
      <c r="I28" s="76"/>
      <c r="J28" s="76"/>
      <c r="K28" s="76"/>
    </row>
    <row r="29" spans="1:11" ht="14.25" customHeight="1">
      <c r="A29" s="89" t="s">
        <v>364</v>
      </c>
      <c r="B29" s="80">
        <f>B11*'4. Pricing Levers'!B23</f>
        <v>0.79</v>
      </c>
      <c r="C29" s="81">
        <f>B29*$B$7</f>
        <v>1162.8800000000001</v>
      </c>
      <c r="D29" s="80">
        <f t="shared" si="2"/>
        <v>0.79</v>
      </c>
      <c r="E29" s="81">
        <f t="shared" si="2"/>
        <v>1162.8800000000001</v>
      </c>
      <c r="F29" s="90" t="s">
        <v>365</v>
      </c>
      <c r="G29" s="76"/>
      <c r="H29" s="76"/>
      <c r="I29" s="76"/>
      <c r="J29" s="76"/>
      <c r="K29" s="76"/>
    </row>
    <row r="30" spans="1:11" ht="15.75" customHeight="1">
      <c r="A30" s="91" t="s">
        <v>366</v>
      </c>
      <c r="B30" s="85">
        <f>B28+B29</f>
        <v>79.790000000000006</v>
      </c>
      <c r="C30" s="86">
        <f>B30*$B$7</f>
        <v>117450.88</v>
      </c>
      <c r="D30" s="85">
        <f t="shared" si="2"/>
        <v>79.790000000000006</v>
      </c>
      <c r="E30" s="86">
        <f t="shared" si="2"/>
        <v>117450.88</v>
      </c>
      <c r="F30" s="90" t="s">
        <v>367</v>
      </c>
      <c r="G30" s="76"/>
      <c r="H30" s="76"/>
      <c r="I30" s="76"/>
      <c r="J30" s="76"/>
      <c r="K30" s="76"/>
    </row>
    <row r="31" spans="1:11" ht="14.25" customHeight="1">
      <c r="A31" s="89" t="s">
        <v>409</v>
      </c>
      <c r="B31" s="80">
        <f>B11*'4. Pricing Levers'!B8</f>
        <v>10.27</v>
      </c>
      <c r="C31" s="81">
        <f>B31*$B$7</f>
        <v>15117.439999999999</v>
      </c>
      <c r="D31" s="80">
        <f t="shared" si="2"/>
        <v>10.27</v>
      </c>
      <c r="E31" s="81">
        <f t="shared" si="2"/>
        <v>15117.439999999999</v>
      </c>
      <c r="F31" s="82" t="s">
        <v>410</v>
      </c>
      <c r="G31" s="76"/>
      <c r="H31" s="76"/>
      <c r="I31" s="76"/>
      <c r="J31" s="76"/>
      <c r="K31" s="76"/>
    </row>
    <row r="32" spans="1:11" ht="14.25" customHeight="1">
      <c r="A32" s="76"/>
      <c r="B32" s="92"/>
      <c r="C32" s="92"/>
      <c r="D32" s="92"/>
      <c r="E32" s="92"/>
      <c r="F32" s="93"/>
      <c r="G32" s="76"/>
      <c r="H32" s="76"/>
      <c r="I32" s="76"/>
      <c r="J32" s="76"/>
      <c r="K32" s="76"/>
    </row>
    <row r="33" spans="1:11" ht="14.25" customHeight="1">
      <c r="A33" s="94" t="s">
        <v>411</v>
      </c>
      <c r="B33" s="95">
        <f>B30+B31</f>
        <v>90.06</v>
      </c>
      <c r="C33" s="96">
        <f>B33*$B$7</f>
        <v>132568.32000000001</v>
      </c>
      <c r="D33" s="95">
        <f t="shared" ref="D33:E35" si="3">B33*$B$6</f>
        <v>90.06</v>
      </c>
      <c r="E33" s="96">
        <f t="shared" si="3"/>
        <v>132568.32000000001</v>
      </c>
      <c r="F33" s="90" t="s">
        <v>371</v>
      </c>
      <c r="G33" s="76"/>
      <c r="H33" s="76"/>
      <c r="I33" s="76"/>
      <c r="J33" s="76"/>
      <c r="K33" s="76"/>
    </row>
    <row r="34" spans="1:11" ht="14.25" customHeight="1">
      <c r="A34" s="89" t="s">
        <v>404</v>
      </c>
      <c r="B34" s="80">
        <f>B12</f>
        <v>102.7</v>
      </c>
      <c r="C34" s="81">
        <f>B34*$B$7</f>
        <v>151174.39999999999</v>
      </c>
      <c r="D34" s="80">
        <f t="shared" si="3"/>
        <v>102.7</v>
      </c>
      <c r="E34" s="81">
        <f t="shared" si="3"/>
        <v>151174.39999999999</v>
      </c>
      <c r="F34" s="90" t="s">
        <v>372</v>
      </c>
      <c r="G34" s="76"/>
      <c r="H34" s="76"/>
      <c r="I34" s="76"/>
      <c r="J34" s="76"/>
      <c r="K34" s="76"/>
    </row>
    <row r="35" spans="1:11" ht="14.25" customHeight="1">
      <c r="A35" s="91" t="s">
        <v>373</v>
      </c>
      <c r="B35" s="85">
        <f>B34-B33</f>
        <v>12.64</v>
      </c>
      <c r="C35" s="86">
        <f>B35*$B$7</f>
        <v>18606.080000000002</v>
      </c>
      <c r="D35" s="85">
        <f t="shared" si="3"/>
        <v>12.64</v>
      </c>
      <c r="E35" s="86">
        <f t="shared" si="3"/>
        <v>18606.080000000002</v>
      </c>
      <c r="F35" s="90" t="s">
        <v>374</v>
      </c>
      <c r="G35" s="76"/>
      <c r="H35" s="76"/>
      <c r="I35" s="76"/>
      <c r="J35" s="76"/>
      <c r="K35" s="76"/>
    </row>
    <row r="36" spans="1:11" ht="15.75" customHeight="1">
      <c r="A36" s="89" t="s">
        <v>375</v>
      </c>
      <c r="B36" s="97">
        <f>B35/B34</f>
        <v>0.12307692307692308</v>
      </c>
      <c r="C36" s="98"/>
      <c r="D36" s="93"/>
      <c r="E36" s="98"/>
      <c r="F36" s="90" t="s">
        <v>376</v>
      </c>
      <c r="G36" s="76"/>
      <c r="H36" s="76"/>
      <c r="I36" s="76"/>
      <c r="J36" s="76"/>
      <c r="K36" s="76"/>
    </row>
    <row r="37" spans="1:11" ht="14.25" customHeight="1">
      <c r="A37" s="113"/>
      <c r="B37" s="114"/>
      <c r="C37" s="115"/>
      <c r="D37" s="116"/>
      <c r="E37" s="115"/>
      <c r="F37" s="113"/>
      <c r="G37" s="113"/>
    </row>
    <row r="39" spans="1:11" ht="14.25" customHeight="1">
      <c r="A39" s="192" t="s">
        <v>377</v>
      </c>
      <c r="B39" s="192"/>
      <c r="C39" s="192"/>
      <c r="D39" s="192"/>
      <c r="E39" s="192"/>
      <c r="F39" s="192"/>
      <c r="G39" s="192"/>
    </row>
    <row r="40" spans="1:11" ht="28.5" customHeight="1">
      <c r="A40" s="5" t="s">
        <v>54</v>
      </c>
      <c r="B40" s="5" t="s">
        <v>333</v>
      </c>
      <c r="C40" s="5" t="s">
        <v>334</v>
      </c>
      <c r="D40" s="5" t="s">
        <v>378</v>
      </c>
    </row>
    <row r="41" spans="1:11" ht="14.25" customHeight="1">
      <c r="A41" s="1" t="s">
        <v>379</v>
      </c>
      <c r="B41" s="74">
        <f>B33</f>
        <v>90.06</v>
      </c>
      <c r="C41" s="73">
        <f>B41*$B$7</f>
        <v>132568.32000000001</v>
      </c>
      <c r="D41" s="8">
        <f>B41/B12</f>
        <v>0.87692307692307692</v>
      </c>
      <c r="J41" s="99" t="s">
        <v>293</v>
      </c>
      <c r="K41" s="100" t="s">
        <v>333</v>
      </c>
    </row>
    <row r="42" spans="1:11" ht="14.25" customHeight="1">
      <c r="A42" s="1" t="s">
        <v>380</v>
      </c>
      <c r="B42" s="74">
        <f>B12</f>
        <v>102.7</v>
      </c>
      <c r="C42" s="73">
        <f>B42*$B$7</f>
        <v>151174.39999999999</v>
      </c>
      <c r="D42" s="8">
        <f>1</f>
        <v>1</v>
      </c>
      <c r="J42" s="101" t="s">
        <v>412</v>
      </c>
      <c r="K42" s="102">
        <f>B33</f>
        <v>90.06</v>
      </c>
    </row>
    <row r="43" spans="1:11" ht="14.25" customHeight="1">
      <c r="A43" s="25" t="s">
        <v>382</v>
      </c>
      <c r="B43" s="103">
        <f>B12-B33</f>
        <v>12.64</v>
      </c>
      <c r="C43" s="104">
        <f>B43*$B$7</f>
        <v>18606.080000000002</v>
      </c>
      <c r="D43" s="105">
        <f>B43/B12</f>
        <v>0.12307692307692308</v>
      </c>
      <c r="J43" s="101" t="s">
        <v>383</v>
      </c>
      <c r="K43" s="102">
        <f>B12</f>
        <v>102.7</v>
      </c>
    </row>
    <row r="46" spans="1:11" ht="14.25" customHeight="1">
      <c r="A46" s="192" t="s">
        <v>384</v>
      </c>
      <c r="B46" s="192"/>
      <c r="C46" s="192"/>
      <c r="D46" s="192"/>
      <c r="E46" s="192"/>
      <c r="F46" s="192"/>
      <c r="G46" s="192"/>
    </row>
    <row r="47" spans="1:11" ht="36" customHeight="1">
      <c r="A47" s="5" t="s">
        <v>385</v>
      </c>
      <c r="B47" s="5" t="s">
        <v>386</v>
      </c>
      <c r="C47" s="5" t="s">
        <v>387</v>
      </c>
      <c r="D47" s="5" t="s">
        <v>388</v>
      </c>
      <c r="E47" s="5" t="s">
        <v>389</v>
      </c>
      <c r="F47" s="5" t="s">
        <v>61</v>
      </c>
      <c r="G47" s="5" t="s">
        <v>390</v>
      </c>
    </row>
    <row r="48" spans="1:11" ht="14.25" customHeight="1">
      <c r="A48" s="66">
        <v>500</v>
      </c>
      <c r="B48" s="106">
        <f>A48/B33</f>
        <v>5.5518543193426604</v>
      </c>
      <c r="C48" s="7">
        <f>A48</f>
        <v>500</v>
      </c>
      <c r="D48" s="7">
        <f>B48*B30</f>
        <v>442.98245614035091</v>
      </c>
      <c r="E48" s="107">
        <f>C48-D48</f>
        <v>57.017543859649095</v>
      </c>
      <c r="F48" s="8">
        <f>E48/C48</f>
        <v>0.11403508771929818</v>
      </c>
      <c r="G48" s="7">
        <f>B48*(B12-B33)</f>
        <v>70.175438596491233</v>
      </c>
    </row>
    <row r="49" spans="1:7" ht="14.25" customHeight="1">
      <c r="A49" s="66">
        <v>1000</v>
      </c>
      <c r="B49" s="106">
        <f>A49/B33</f>
        <v>11.103708638685321</v>
      </c>
      <c r="C49" s="7">
        <f>A49</f>
        <v>1000</v>
      </c>
      <c r="D49" s="7">
        <f>B49*B30</f>
        <v>885.96491228070181</v>
      </c>
      <c r="E49" s="107">
        <f>C49-D49</f>
        <v>114.03508771929819</v>
      </c>
      <c r="F49" s="8">
        <f>E49/C49</f>
        <v>0.11403508771929818</v>
      </c>
      <c r="G49" s="7">
        <f>B49*(B12-B33)</f>
        <v>140.35087719298247</v>
      </c>
    </row>
    <row r="50" spans="1:7" ht="14.25" customHeight="1">
      <c r="A50" s="66">
        <v>5000</v>
      </c>
      <c r="B50" s="106">
        <f>A50/B33</f>
        <v>55.518543193426602</v>
      </c>
      <c r="C50" s="7">
        <f>A50</f>
        <v>5000</v>
      </c>
      <c r="D50" s="7">
        <f>B50*B30</f>
        <v>4429.8245614035086</v>
      </c>
      <c r="E50" s="107">
        <f>C50-D50</f>
        <v>570.1754385964914</v>
      </c>
      <c r="F50" s="8">
        <f>E50/C50</f>
        <v>0.11403508771929828</v>
      </c>
      <c r="G50" s="7">
        <f>B50*(B12-B33)</f>
        <v>701.75438596491233</v>
      </c>
    </row>
    <row r="51" spans="1:7" ht="14.25" customHeight="1">
      <c r="A51" s="66">
        <v>25000</v>
      </c>
      <c r="B51" s="106">
        <f>A51/B33</f>
        <v>277.59271596713302</v>
      </c>
      <c r="C51" s="7">
        <f>A51</f>
        <v>25000</v>
      </c>
      <c r="D51" s="7">
        <f>B51*B30</f>
        <v>22149.122807017546</v>
      </c>
      <c r="E51" s="107">
        <f>C51-D51</f>
        <v>2850.8771929824543</v>
      </c>
      <c r="F51" s="8">
        <f>E51/C51</f>
        <v>0.11403508771929817</v>
      </c>
      <c r="G51" s="7">
        <f>B51*(B12-B33)</f>
        <v>3508.7719298245615</v>
      </c>
    </row>
    <row r="52" spans="1:7" ht="14.25" customHeight="1">
      <c r="A52" s="66">
        <v>100000</v>
      </c>
      <c r="B52" s="106">
        <f>A52/B33</f>
        <v>1110.3708638685321</v>
      </c>
      <c r="C52" s="7">
        <f>A52</f>
        <v>100000</v>
      </c>
      <c r="D52" s="7">
        <f>B52*B30</f>
        <v>88596.491228070183</v>
      </c>
      <c r="E52" s="107">
        <f>C52-D52</f>
        <v>11403.508771929817</v>
      </c>
      <c r="F52" s="8">
        <f>E52/C52</f>
        <v>0.11403508771929817</v>
      </c>
      <c r="G52" s="7">
        <f>B52*(B12-B33)</f>
        <v>14035.087719298246</v>
      </c>
    </row>
    <row r="55" spans="1:7" ht="14.25" customHeight="1">
      <c r="A55" s="192" t="s">
        <v>413</v>
      </c>
      <c r="B55" s="192"/>
      <c r="C55" s="192"/>
      <c r="D55" s="192"/>
      <c r="E55" s="192"/>
      <c r="F55" s="192"/>
      <c r="G55" s="192"/>
    </row>
    <row r="56" spans="1:7" ht="28.5" customHeight="1">
      <c r="A56" s="5" t="s">
        <v>392</v>
      </c>
      <c r="B56" s="5" t="s">
        <v>393</v>
      </c>
      <c r="C56" s="5" t="s">
        <v>394</v>
      </c>
      <c r="D56" s="5" t="s">
        <v>395</v>
      </c>
      <c r="E56" s="5" t="s">
        <v>396</v>
      </c>
      <c r="F56" s="5" t="s">
        <v>397</v>
      </c>
    </row>
    <row r="57" spans="1:7" ht="14.25" customHeight="1">
      <c r="A57" s="62">
        <v>0.12</v>
      </c>
      <c r="B57" s="74">
        <f>B11*(1+A57)</f>
        <v>88.48</v>
      </c>
      <c r="C57" s="74">
        <f>B57-B30</f>
        <v>8.6899999999999977</v>
      </c>
      <c r="D57" s="8">
        <f t="shared" ref="D57:D63" si="4">C57/B57</f>
        <v>9.8214285714285685E-2</v>
      </c>
      <c r="E57" s="7">
        <f t="shared" ref="E57:E63" si="5">5000*C57/B57</f>
        <v>491.07142857142838</v>
      </c>
      <c r="F57" s="7">
        <f t="shared" ref="F57:F63" si="6">25000*C57/B57</f>
        <v>2455.3571428571422</v>
      </c>
    </row>
    <row r="58" spans="1:7" ht="14.25" customHeight="1">
      <c r="A58" s="62">
        <v>0.13</v>
      </c>
      <c r="B58" s="74">
        <f>B11*(1+A58)</f>
        <v>89.27</v>
      </c>
      <c r="C58" s="74">
        <f>B58-B30</f>
        <v>9.4799999999999898</v>
      </c>
      <c r="D58" s="8">
        <f t="shared" si="4"/>
        <v>0.10619469026548661</v>
      </c>
      <c r="E58" s="7">
        <f t="shared" si="5"/>
        <v>530.97345132743305</v>
      </c>
      <c r="F58" s="7">
        <f t="shared" si="6"/>
        <v>2654.8672566371652</v>
      </c>
    </row>
    <row r="59" spans="1:7" ht="14.25" customHeight="1">
      <c r="A59" s="62"/>
      <c r="B59" s="74">
        <f>B11*(1+A59)</f>
        <v>79</v>
      </c>
      <c r="C59" s="74">
        <f>B59-B30</f>
        <v>-0.79000000000000625</v>
      </c>
      <c r="D59" s="8">
        <f t="shared" si="4"/>
        <v>-1.000000000000008E-2</v>
      </c>
      <c r="E59" s="7">
        <f t="shared" si="5"/>
        <v>-50.000000000000398</v>
      </c>
      <c r="F59" s="7">
        <f t="shared" si="6"/>
        <v>-250.00000000000199</v>
      </c>
    </row>
    <row r="60" spans="1:7" ht="14.25" customHeight="1">
      <c r="A60" s="108">
        <v>0.15</v>
      </c>
      <c r="B60" s="109">
        <f>B11*(1+A60)</f>
        <v>90.85</v>
      </c>
      <c r="C60" s="109">
        <f>B60-B30</f>
        <v>11.059999999999988</v>
      </c>
      <c r="D60" s="110">
        <f t="shared" si="4"/>
        <v>0.12173913043478249</v>
      </c>
      <c r="E60" s="111">
        <f t="shared" si="5"/>
        <v>608.69565217391244</v>
      </c>
      <c r="F60" s="111">
        <f t="shared" si="6"/>
        <v>3043.4782608695623</v>
      </c>
    </row>
    <row r="61" spans="1:7" ht="14.25" customHeight="1">
      <c r="A61" s="62"/>
      <c r="B61" s="74">
        <f>B11*(1+A61)</f>
        <v>79</v>
      </c>
      <c r="C61" s="74">
        <f>B61-B30</f>
        <v>-0.79000000000000625</v>
      </c>
      <c r="D61" s="8">
        <f t="shared" si="4"/>
        <v>-1.000000000000008E-2</v>
      </c>
      <c r="E61" s="7">
        <f t="shared" si="5"/>
        <v>-50.000000000000398</v>
      </c>
      <c r="F61" s="7">
        <f t="shared" si="6"/>
        <v>-250.00000000000199</v>
      </c>
    </row>
    <row r="62" spans="1:7" ht="14.25" customHeight="1">
      <c r="A62" s="62">
        <v>0.17</v>
      </c>
      <c r="B62" s="74">
        <f>B11*(1+A62)</f>
        <v>92.429999999999993</v>
      </c>
      <c r="C62" s="74">
        <f>B62-B30</f>
        <v>12.639999999999986</v>
      </c>
      <c r="D62" s="8">
        <f t="shared" si="4"/>
        <v>0.13675213675213663</v>
      </c>
      <c r="E62" s="7">
        <f t="shared" si="5"/>
        <v>683.76068376068315</v>
      </c>
      <c r="F62" s="7">
        <f t="shared" si="6"/>
        <v>3418.8034188034153</v>
      </c>
    </row>
    <row r="63" spans="1:7" ht="14.25" customHeight="1">
      <c r="A63" s="62">
        <v>0.18</v>
      </c>
      <c r="B63" s="74">
        <f>B11*(1+A63)</f>
        <v>93.22</v>
      </c>
      <c r="C63" s="74">
        <f>B63-B30</f>
        <v>13.429999999999993</v>
      </c>
      <c r="D63" s="8">
        <f t="shared" si="4"/>
        <v>0.14406779661016941</v>
      </c>
      <c r="E63" s="7">
        <f t="shared" si="5"/>
        <v>720.33898305084699</v>
      </c>
      <c r="F63" s="7">
        <f t="shared" si="6"/>
        <v>3601.6949152542356</v>
      </c>
    </row>
  </sheetData>
  <mergeCells count="9">
    <mergeCell ref="A2:H2"/>
    <mergeCell ref="A4:G4"/>
    <mergeCell ref="C5:H5"/>
    <mergeCell ref="A9:G9"/>
    <mergeCell ref="A16:G16"/>
    <mergeCell ref="A26:G26"/>
    <mergeCell ref="A39:G39"/>
    <mergeCell ref="A46:G46"/>
    <mergeCell ref="A55:G55"/>
  </mergeCells>
  <hyperlinks>
    <hyperlink ref="I1" location="'1. Master P&amp;L Summary'!A1" display="↑ P&amp;L" xr:uid="{00000000-0004-0000-0500-000000000000}"/>
    <hyperlink ref="P1" location="'1. Master P&amp;L Summary'!A1" display="↑ P&amp;L" xr:uid="{00000000-0004-0000-0500-000001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9"/>
  <sheetViews>
    <sheetView showGridLines="0" zoomScale="93" zoomScaleNormal="93" workbookViewId="0">
      <selection activeCell="B1" sqref="B1"/>
    </sheetView>
  </sheetViews>
  <sheetFormatPr defaultColWidth="8.69140625" defaultRowHeight="14.6"/>
  <cols>
    <col min="1" max="1" width="42" customWidth="1"/>
    <col min="2" max="5" width="14" customWidth="1"/>
    <col min="6" max="6" width="50" customWidth="1"/>
    <col min="8" max="9" width="12" customWidth="1"/>
    <col min="16" max="16" width="14" customWidth="1"/>
  </cols>
  <sheetData>
    <row r="1" spans="1:16" ht="27.75" customHeight="1" thickBot="1">
      <c r="A1" s="184" t="s">
        <v>414</v>
      </c>
      <c r="B1" s="184"/>
      <c r="C1" s="184"/>
      <c r="D1" s="184"/>
      <c r="E1" s="184"/>
      <c r="F1" s="184"/>
      <c r="G1" s="184"/>
      <c r="H1" s="3"/>
      <c r="I1" s="4" t="s">
        <v>72</v>
      </c>
      <c r="P1" s="4" t="s">
        <v>72</v>
      </c>
    </row>
    <row r="2" spans="1:16" ht="14.25" customHeight="1">
      <c r="A2" s="190" t="s">
        <v>415</v>
      </c>
      <c r="B2" s="190"/>
      <c r="C2" s="190"/>
      <c r="D2" s="190"/>
      <c r="E2" s="190"/>
      <c r="F2" s="190"/>
    </row>
    <row r="4" spans="1:16" ht="14.25" customHeight="1">
      <c r="A4" s="39" t="s">
        <v>416</v>
      </c>
      <c r="B4" s="39" t="s">
        <v>417</v>
      </c>
      <c r="C4" s="39" t="s">
        <v>418</v>
      </c>
      <c r="D4" s="39" t="s">
        <v>419</v>
      </c>
      <c r="E4" s="39" t="s">
        <v>420</v>
      </c>
      <c r="F4" s="39" t="s">
        <v>174</v>
      </c>
    </row>
    <row r="5" spans="1:16" ht="14.25" customHeight="1">
      <c r="A5" s="187" t="s">
        <v>421</v>
      </c>
      <c r="B5" s="187"/>
      <c r="C5" s="187"/>
      <c r="D5" s="187"/>
      <c r="E5" s="187"/>
      <c r="F5" s="187"/>
    </row>
    <row r="6" spans="1:16" ht="14.25" customHeight="1">
      <c r="A6" s="30" t="s">
        <v>422</v>
      </c>
      <c r="B6" s="41">
        <v>2500</v>
      </c>
      <c r="C6" s="41">
        <v>0</v>
      </c>
      <c r="D6" s="42">
        <f>C6*6</f>
        <v>0</v>
      </c>
      <c r="E6" s="117">
        <f>B6+D6</f>
        <v>2500</v>
      </c>
      <c r="F6" s="118" t="s">
        <v>423</v>
      </c>
    </row>
    <row r="7" spans="1:16" ht="14.25" customHeight="1">
      <c r="A7" s="30" t="s">
        <v>424</v>
      </c>
      <c r="B7" s="41">
        <v>1500</v>
      </c>
      <c r="C7" s="41">
        <v>0</v>
      </c>
      <c r="D7" s="42">
        <f>C7*6</f>
        <v>0</v>
      </c>
      <c r="E7" s="117">
        <f>B7+D7</f>
        <v>1500</v>
      </c>
      <c r="F7" s="118" t="s">
        <v>425</v>
      </c>
    </row>
    <row r="8" spans="1:16" ht="14.25" customHeight="1">
      <c r="A8" s="30" t="s">
        <v>426</v>
      </c>
      <c r="B8" s="41">
        <v>15000</v>
      </c>
      <c r="C8" s="41">
        <v>0</v>
      </c>
      <c r="D8" s="42">
        <f>C8*6</f>
        <v>0</v>
      </c>
      <c r="E8" s="117">
        <f>B8+D8</f>
        <v>15000</v>
      </c>
      <c r="F8" s="118" t="s">
        <v>427</v>
      </c>
    </row>
    <row r="9" spans="1:16" ht="15" customHeight="1">
      <c r="A9" s="30" t="s">
        <v>428</v>
      </c>
      <c r="B9" s="41">
        <v>8000</v>
      </c>
      <c r="C9" s="41">
        <v>0</v>
      </c>
      <c r="D9" s="42">
        <f>C9*6</f>
        <v>0</v>
      </c>
      <c r="E9" s="117">
        <f>B9+D9</f>
        <v>8000</v>
      </c>
      <c r="F9" s="118" t="s">
        <v>429</v>
      </c>
    </row>
    <row r="10" spans="1:16" ht="14.25" customHeight="1">
      <c r="A10" s="30" t="s">
        <v>430</v>
      </c>
      <c r="B10" s="41">
        <v>3000</v>
      </c>
      <c r="C10" s="41">
        <v>800</v>
      </c>
      <c r="D10" s="42">
        <f>C10*6</f>
        <v>4800</v>
      </c>
      <c r="E10" s="117">
        <f>B10+D10</f>
        <v>7800</v>
      </c>
      <c r="F10" s="118" t="s">
        <v>431</v>
      </c>
    </row>
    <row r="11" spans="1:16" ht="14.25" customHeight="1">
      <c r="A11" s="119" t="s">
        <v>432</v>
      </c>
      <c r="B11" s="41">
        <f>SUM(B6:B10)</f>
        <v>30000</v>
      </c>
      <c r="C11" s="41">
        <f>SUM(C6:C10)</f>
        <v>800</v>
      </c>
      <c r="D11" s="41">
        <f>SUM(D6:D10)</f>
        <v>4800</v>
      </c>
      <c r="E11" s="41">
        <f>SUM(E6:E10)</f>
        <v>34800</v>
      </c>
    </row>
    <row r="13" spans="1:16" ht="14.25" customHeight="1">
      <c r="A13" s="187" t="s">
        <v>433</v>
      </c>
      <c r="B13" s="187"/>
      <c r="C13" s="187"/>
      <c r="D13" s="187"/>
      <c r="E13" s="187"/>
      <c r="F13" s="187"/>
    </row>
    <row r="14" spans="1:16" ht="14.25" customHeight="1">
      <c r="A14" s="30" t="s">
        <v>434</v>
      </c>
      <c r="B14" s="41">
        <v>30000</v>
      </c>
      <c r="C14" s="41">
        <v>2500</v>
      </c>
      <c r="D14" s="42">
        <f>C14*6</f>
        <v>15000</v>
      </c>
      <c r="E14" s="117">
        <f>B14+D14</f>
        <v>45000</v>
      </c>
      <c r="F14" s="118" t="s">
        <v>435</v>
      </c>
    </row>
    <row r="15" spans="1:16" ht="14.25" customHeight="1">
      <c r="A15" s="30" t="s">
        <v>436</v>
      </c>
      <c r="B15" s="41">
        <v>15000</v>
      </c>
      <c r="C15" s="41">
        <v>1500</v>
      </c>
      <c r="D15" s="42">
        <f>C15*6</f>
        <v>9000</v>
      </c>
      <c r="E15" s="117">
        <f>B15+D15</f>
        <v>24000</v>
      </c>
      <c r="F15" s="118" t="s">
        <v>437</v>
      </c>
    </row>
    <row r="16" spans="1:16" ht="14.25" customHeight="1">
      <c r="A16" s="30" t="s">
        <v>438</v>
      </c>
      <c r="B16" s="41">
        <v>8000</v>
      </c>
      <c r="C16" s="41">
        <v>500</v>
      </c>
      <c r="D16" s="42">
        <f>C16*6</f>
        <v>3000</v>
      </c>
      <c r="E16" s="117">
        <f>B16+D16</f>
        <v>11000</v>
      </c>
      <c r="F16" s="118" t="s">
        <v>439</v>
      </c>
    </row>
    <row r="17" spans="1:6" ht="14.25" customHeight="1">
      <c r="A17" s="30" t="s">
        <v>440</v>
      </c>
      <c r="B17" s="41">
        <v>5000</v>
      </c>
      <c r="C17" s="41">
        <v>3500</v>
      </c>
      <c r="D17" s="42">
        <f>C17*6</f>
        <v>21000</v>
      </c>
      <c r="E17" s="117">
        <f>B17+D17</f>
        <v>26000</v>
      </c>
      <c r="F17" s="118" t="s">
        <v>441</v>
      </c>
    </row>
    <row r="18" spans="1:6" ht="14.25" customHeight="1">
      <c r="A18" s="30" t="s">
        <v>442</v>
      </c>
      <c r="B18" s="41">
        <v>12000</v>
      </c>
      <c r="C18" s="41">
        <v>0</v>
      </c>
      <c r="D18" s="42">
        <f>C18*6</f>
        <v>0</v>
      </c>
      <c r="E18" s="117">
        <f>B18+D18</f>
        <v>12000</v>
      </c>
      <c r="F18" s="118" t="s">
        <v>443</v>
      </c>
    </row>
    <row r="19" spans="1:6" ht="14.25" customHeight="1">
      <c r="A19" s="119" t="s">
        <v>432</v>
      </c>
      <c r="B19" s="41">
        <f>SUM(B14:B18)</f>
        <v>70000</v>
      </c>
      <c r="C19" s="41">
        <f>SUM(C14:C18)</f>
        <v>8000</v>
      </c>
      <c r="D19" s="41">
        <f>SUM(D14:D18)</f>
        <v>48000</v>
      </c>
      <c r="E19" s="41">
        <f>SUM(E14:E18)</f>
        <v>118000</v>
      </c>
    </row>
    <row r="21" spans="1:6" ht="14.25" customHeight="1">
      <c r="A21" s="187" t="s">
        <v>444</v>
      </c>
      <c r="B21" s="187"/>
      <c r="C21" s="187"/>
      <c r="D21" s="187"/>
      <c r="E21" s="187"/>
      <c r="F21" s="187"/>
    </row>
    <row r="22" spans="1:6" ht="14.25" customHeight="1">
      <c r="A22" s="30" t="s">
        <v>445</v>
      </c>
      <c r="B22" s="41">
        <v>25000</v>
      </c>
      <c r="C22" s="41">
        <v>1200</v>
      </c>
      <c r="D22" s="42">
        <f t="shared" ref="D22:D28" si="0">C22*6</f>
        <v>7200</v>
      </c>
      <c r="E22" s="117">
        <f t="shared" ref="E22:E28" si="1">B22+D22</f>
        <v>32200</v>
      </c>
      <c r="F22" s="118" t="s">
        <v>446</v>
      </c>
    </row>
    <row r="23" spans="1:6" ht="14.25" customHeight="1">
      <c r="A23" s="30" t="s">
        <v>447</v>
      </c>
      <c r="B23" s="41">
        <v>10000</v>
      </c>
      <c r="C23" s="41">
        <v>0</v>
      </c>
      <c r="D23" s="42">
        <f t="shared" si="0"/>
        <v>0</v>
      </c>
      <c r="E23" s="117">
        <f t="shared" si="1"/>
        <v>10000</v>
      </c>
      <c r="F23" s="118" t="s">
        <v>448</v>
      </c>
    </row>
    <row r="24" spans="1:6" ht="14.25" customHeight="1">
      <c r="A24" s="30" t="s">
        <v>449</v>
      </c>
      <c r="B24" s="41">
        <v>200000</v>
      </c>
      <c r="C24" s="41">
        <v>0</v>
      </c>
      <c r="D24" s="42">
        <f t="shared" si="0"/>
        <v>0</v>
      </c>
      <c r="E24" s="117">
        <f t="shared" si="1"/>
        <v>200000</v>
      </c>
      <c r="F24" s="118" t="s">
        <v>450</v>
      </c>
    </row>
    <row r="25" spans="1:6" ht="14.25" customHeight="1">
      <c r="A25" s="30" t="s">
        <v>451</v>
      </c>
      <c r="B25" s="41">
        <v>25000</v>
      </c>
      <c r="C25" s="41">
        <v>0</v>
      </c>
      <c r="D25" s="42">
        <f t="shared" si="0"/>
        <v>0</v>
      </c>
      <c r="E25" s="117">
        <f t="shared" si="1"/>
        <v>25000</v>
      </c>
      <c r="F25" s="118" t="s">
        <v>452</v>
      </c>
    </row>
    <row r="26" spans="1:6" ht="14.25" customHeight="1">
      <c r="A26" s="30" t="s">
        <v>453</v>
      </c>
      <c r="B26" s="41">
        <v>10000</v>
      </c>
      <c r="C26" s="41">
        <v>2000</v>
      </c>
      <c r="D26" s="42">
        <f t="shared" si="0"/>
        <v>12000</v>
      </c>
      <c r="E26" s="117">
        <f t="shared" si="1"/>
        <v>22000</v>
      </c>
      <c r="F26" s="118" t="s">
        <v>454</v>
      </c>
    </row>
    <row r="27" spans="1:6" ht="14.25" customHeight="1">
      <c r="A27" s="30" t="s">
        <v>455</v>
      </c>
      <c r="B27" s="41">
        <v>3000</v>
      </c>
      <c r="C27" s="41">
        <v>500</v>
      </c>
      <c r="D27" s="42">
        <f t="shared" si="0"/>
        <v>3000</v>
      </c>
      <c r="E27" s="117">
        <f t="shared" si="1"/>
        <v>6000</v>
      </c>
      <c r="F27" s="118" t="s">
        <v>456</v>
      </c>
    </row>
    <row r="28" spans="1:6" ht="14.25" customHeight="1">
      <c r="A28" s="30" t="s">
        <v>457</v>
      </c>
      <c r="B28" s="41">
        <v>5000</v>
      </c>
      <c r="C28" s="41">
        <v>0</v>
      </c>
      <c r="D28" s="42">
        <f t="shared" si="0"/>
        <v>0</v>
      </c>
      <c r="E28" s="117">
        <f t="shared" si="1"/>
        <v>5000</v>
      </c>
      <c r="F28" s="118" t="s">
        <v>458</v>
      </c>
    </row>
    <row r="29" spans="1:6" ht="14.25" customHeight="1">
      <c r="A29" s="119" t="s">
        <v>432</v>
      </c>
      <c r="B29" s="41">
        <f>SUM(B22:B28)</f>
        <v>278000</v>
      </c>
      <c r="C29" s="41">
        <f>SUM(C22:C28)</f>
        <v>3700</v>
      </c>
      <c r="D29" s="41">
        <f>SUM(D22:D28)</f>
        <v>22200</v>
      </c>
      <c r="E29" s="41">
        <f>SUM(E22:E28)</f>
        <v>300200</v>
      </c>
    </row>
    <row r="31" spans="1:6" ht="14.25" customHeight="1">
      <c r="A31" s="187" t="s">
        <v>459</v>
      </c>
      <c r="B31" s="187"/>
      <c r="C31" s="187"/>
      <c r="D31" s="187"/>
      <c r="E31" s="187"/>
      <c r="F31" s="187"/>
    </row>
    <row r="32" spans="1:6" ht="14.25" customHeight="1">
      <c r="A32" s="30" t="s">
        <v>460</v>
      </c>
      <c r="B32" s="41">
        <v>45000</v>
      </c>
      <c r="C32" s="41">
        <v>1500</v>
      </c>
      <c r="D32" s="42">
        <f t="shared" ref="D32:D38" si="2">C32*6</f>
        <v>9000</v>
      </c>
      <c r="E32" s="117">
        <f t="shared" ref="E32:E38" si="3">B32+D32</f>
        <v>54000</v>
      </c>
      <c r="F32" s="118" t="s">
        <v>461</v>
      </c>
    </row>
    <row r="33" spans="1:6" ht="14.25" customHeight="1">
      <c r="A33" s="30" t="s">
        <v>462</v>
      </c>
      <c r="B33" s="41">
        <v>55000</v>
      </c>
      <c r="C33" s="41">
        <v>2000</v>
      </c>
      <c r="D33" s="42">
        <f t="shared" si="2"/>
        <v>12000</v>
      </c>
      <c r="E33" s="117">
        <f t="shared" si="3"/>
        <v>67000</v>
      </c>
      <c r="F33" s="118" t="s">
        <v>463</v>
      </c>
    </row>
    <row r="34" spans="1:6" ht="14.25" customHeight="1">
      <c r="A34" s="30" t="s">
        <v>464</v>
      </c>
      <c r="B34" s="41">
        <v>20000</v>
      </c>
      <c r="C34" s="41">
        <v>800</v>
      </c>
      <c r="D34" s="42">
        <f t="shared" si="2"/>
        <v>4800</v>
      </c>
      <c r="E34" s="117">
        <f t="shared" si="3"/>
        <v>24800</v>
      </c>
      <c r="F34" s="118" t="s">
        <v>465</v>
      </c>
    </row>
    <row r="35" spans="1:6" ht="14.25" customHeight="1">
      <c r="A35" s="30" t="s">
        <v>466</v>
      </c>
      <c r="B35" s="41">
        <v>3000</v>
      </c>
      <c r="C35" s="41">
        <v>400</v>
      </c>
      <c r="D35" s="42">
        <f t="shared" si="2"/>
        <v>2400</v>
      </c>
      <c r="E35" s="117">
        <f t="shared" si="3"/>
        <v>5400</v>
      </c>
      <c r="F35" s="118" t="s">
        <v>467</v>
      </c>
    </row>
    <row r="36" spans="1:6" ht="14.25" customHeight="1">
      <c r="A36" s="30" t="s">
        <v>468</v>
      </c>
      <c r="B36" s="41">
        <v>2000</v>
      </c>
      <c r="C36" s="41">
        <v>1500</v>
      </c>
      <c r="D36" s="42">
        <f t="shared" si="2"/>
        <v>9000</v>
      </c>
      <c r="E36" s="117">
        <f t="shared" si="3"/>
        <v>11000</v>
      </c>
      <c r="F36" s="118" t="s">
        <v>469</v>
      </c>
    </row>
    <row r="37" spans="1:6" ht="14.25" customHeight="1">
      <c r="A37" s="30" t="s">
        <v>470</v>
      </c>
      <c r="B37" s="41">
        <v>12000</v>
      </c>
      <c r="C37" s="41">
        <v>0</v>
      </c>
      <c r="D37" s="42">
        <f t="shared" si="2"/>
        <v>0</v>
      </c>
      <c r="E37" s="117">
        <f t="shared" si="3"/>
        <v>12000</v>
      </c>
      <c r="F37" s="118" t="s">
        <v>471</v>
      </c>
    </row>
    <row r="38" spans="1:6" ht="14.25" customHeight="1">
      <c r="A38" s="30" t="s">
        <v>472</v>
      </c>
      <c r="B38" s="41">
        <v>8000</v>
      </c>
      <c r="C38" s="41">
        <v>500</v>
      </c>
      <c r="D38" s="42">
        <f t="shared" si="2"/>
        <v>3000</v>
      </c>
      <c r="E38" s="117">
        <f t="shared" si="3"/>
        <v>11000</v>
      </c>
      <c r="F38" s="118" t="s">
        <v>473</v>
      </c>
    </row>
    <row r="39" spans="1:6" ht="14.25" customHeight="1">
      <c r="A39" s="119" t="s">
        <v>432</v>
      </c>
      <c r="B39" s="41">
        <f>SUM(B32:B38)</f>
        <v>145000</v>
      </c>
      <c r="C39" s="41">
        <f>SUM(C32:C38)</f>
        <v>6700</v>
      </c>
      <c r="D39" s="41">
        <f>SUM(D32:D38)</f>
        <v>40200</v>
      </c>
      <c r="E39" s="41">
        <f>SUM(E32:E38)</f>
        <v>185200</v>
      </c>
    </row>
    <row r="41" spans="1:6" ht="14.25" customHeight="1">
      <c r="A41" s="187" t="s">
        <v>474</v>
      </c>
      <c r="B41" s="187"/>
      <c r="C41" s="187"/>
      <c r="D41" s="187"/>
      <c r="E41" s="187"/>
      <c r="F41" s="187"/>
    </row>
    <row r="42" spans="1:6" ht="14.25" customHeight="1">
      <c r="A42" s="30" t="s">
        <v>475</v>
      </c>
      <c r="B42" s="41">
        <v>35000</v>
      </c>
      <c r="C42" s="41">
        <v>8000</v>
      </c>
      <c r="D42" s="42">
        <f>C42*6</f>
        <v>48000</v>
      </c>
      <c r="E42" s="117">
        <f t="shared" ref="E42:E47" si="4">B42+D42</f>
        <v>83000</v>
      </c>
      <c r="F42" s="118" t="s">
        <v>476</v>
      </c>
    </row>
    <row r="43" spans="1:6" ht="14.25" customHeight="1">
      <c r="A43" s="30" t="s">
        <v>477</v>
      </c>
      <c r="B43" s="41">
        <v>0</v>
      </c>
      <c r="C43" s="42">
        <f>'17. AGP Sign-up — Inputs'!B19/6</f>
        <v>8333.3333333333339</v>
      </c>
      <c r="D43" s="42">
        <f>'17. AGP Sign-up — Inputs'!B19</f>
        <v>50000</v>
      </c>
      <c r="E43" s="117">
        <f t="shared" si="4"/>
        <v>50000</v>
      </c>
      <c r="F43" s="118" t="s">
        <v>478</v>
      </c>
    </row>
    <row r="44" spans="1:6" ht="14.25" customHeight="1">
      <c r="A44" s="30" t="s">
        <v>479</v>
      </c>
      <c r="B44" s="41">
        <v>0</v>
      </c>
      <c r="C44" s="42">
        <f>'15. AGP — Inputs'!B27</f>
        <v>10000</v>
      </c>
      <c r="D44" s="42">
        <f>C44*6</f>
        <v>60000</v>
      </c>
      <c r="E44" s="117">
        <f t="shared" si="4"/>
        <v>60000</v>
      </c>
      <c r="F44" s="118" t="s">
        <v>480</v>
      </c>
    </row>
    <row r="45" spans="1:6" ht="14.25" customHeight="1">
      <c r="A45" s="30" t="s">
        <v>481</v>
      </c>
      <c r="B45" s="41">
        <v>15000</v>
      </c>
      <c r="C45" s="42">
        <f>'4. Pricing Levers'!B34</f>
        <v>5000</v>
      </c>
      <c r="D45" s="42">
        <f>C45*6</f>
        <v>30000</v>
      </c>
      <c r="E45" s="117">
        <f t="shared" si="4"/>
        <v>45000</v>
      </c>
      <c r="F45" s="118" t="s">
        <v>482</v>
      </c>
    </row>
    <row r="46" spans="1:6" ht="14.25" customHeight="1">
      <c r="A46" s="30" t="s">
        <v>483</v>
      </c>
      <c r="B46" s="41">
        <v>18000</v>
      </c>
      <c r="C46" s="41">
        <v>0</v>
      </c>
      <c r="D46" s="42">
        <f>C46*6</f>
        <v>0</v>
      </c>
      <c r="E46" s="117">
        <f t="shared" si="4"/>
        <v>18000</v>
      </c>
      <c r="F46" s="118" t="s">
        <v>484</v>
      </c>
    </row>
    <row r="47" spans="1:6" ht="14.25" customHeight="1">
      <c r="A47" s="30" t="s">
        <v>485</v>
      </c>
      <c r="B47" s="41">
        <v>20000</v>
      </c>
      <c r="C47" s="41">
        <v>8000</v>
      </c>
      <c r="D47" s="42">
        <f>C47*6</f>
        <v>48000</v>
      </c>
      <c r="E47" s="117">
        <f t="shared" si="4"/>
        <v>68000</v>
      </c>
      <c r="F47" s="120" t="s">
        <v>486</v>
      </c>
    </row>
    <row r="48" spans="1:6" ht="14.25" customHeight="1">
      <c r="A48" s="119" t="s">
        <v>487</v>
      </c>
      <c r="B48" s="41">
        <f>SUM(B42:B47)</f>
        <v>88000</v>
      </c>
      <c r="C48" s="41">
        <f>SUM(C42:C47)</f>
        <v>39333.333333333336</v>
      </c>
      <c r="D48" s="41">
        <f>SUM(D42:D47)</f>
        <v>236000</v>
      </c>
      <c r="E48" s="41">
        <f>SUM(E42:E47)</f>
        <v>324000</v>
      </c>
    </row>
    <row r="50" spans="1:6" ht="14.25" customHeight="1">
      <c r="A50" s="187" t="s">
        <v>488</v>
      </c>
      <c r="B50" s="187"/>
      <c r="C50" s="187"/>
      <c r="D50" s="187"/>
      <c r="E50" s="187"/>
      <c r="F50" s="187"/>
    </row>
    <row r="51" spans="1:6" ht="14.25" customHeight="1">
      <c r="A51" s="30" t="s">
        <v>489</v>
      </c>
      <c r="B51" s="41">
        <v>0</v>
      </c>
      <c r="C51" s="41">
        <v>6000</v>
      </c>
      <c r="D51" s="42">
        <f t="shared" ref="D51:D57" si="5">C51*6</f>
        <v>36000</v>
      </c>
      <c r="E51" s="117">
        <f t="shared" ref="E51:E57" si="6">B51+D51</f>
        <v>36000</v>
      </c>
      <c r="F51" s="118" t="s">
        <v>490</v>
      </c>
    </row>
    <row r="52" spans="1:6" ht="14.25" customHeight="1">
      <c r="A52" s="30" t="s">
        <v>491</v>
      </c>
      <c r="B52" s="41">
        <v>0</v>
      </c>
      <c r="C52" s="41">
        <v>6000</v>
      </c>
      <c r="D52" s="42">
        <f t="shared" si="5"/>
        <v>36000</v>
      </c>
      <c r="E52" s="117">
        <f t="shared" si="6"/>
        <v>36000</v>
      </c>
      <c r="F52" s="118" t="s">
        <v>492</v>
      </c>
    </row>
    <row r="53" spans="1:6" ht="14.25" customHeight="1">
      <c r="A53" s="30" t="s">
        <v>493</v>
      </c>
      <c r="B53" s="41">
        <v>0</v>
      </c>
      <c r="C53" s="41">
        <v>5500</v>
      </c>
      <c r="D53" s="42">
        <f t="shared" si="5"/>
        <v>33000</v>
      </c>
      <c r="E53" s="117">
        <f t="shared" si="6"/>
        <v>33000</v>
      </c>
      <c r="F53" s="118" t="s">
        <v>494</v>
      </c>
    </row>
    <row r="54" spans="1:6" ht="14.25" customHeight="1">
      <c r="A54" s="30" t="s">
        <v>495</v>
      </c>
      <c r="B54" s="41">
        <v>15000</v>
      </c>
      <c r="C54" s="41">
        <v>9000</v>
      </c>
      <c r="D54" s="42">
        <f t="shared" si="5"/>
        <v>54000</v>
      </c>
      <c r="E54" s="117">
        <f t="shared" si="6"/>
        <v>69000</v>
      </c>
      <c r="F54" s="118" t="s">
        <v>496</v>
      </c>
    </row>
    <row r="55" spans="1:6" ht="14.25" customHeight="1">
      <c r="A55" s="30" t="s">
        <v>497</v>
      </c>
      <c r="B55" s="41">
        <v>5000</v>
      </c>
      <c r="C55" s="41">
        <v>4500</v>
      </c>
      <c r="D55" s="42">
        <f t="shared" si="5"/>
        <v>27000</v>
      </c>
      <c r="E55" s="117">
        <f t="shared" si="6"/>
        <v>32000</v>
      </c>
      <c r="F55" s="118" t="s">
        <v>498</v>
      </c>
    </row>
    <row r="56" spans="1:6" ht="14.25" customHeight="1">
      <c r="A56" s="30" t="s">
        <v>499</v>
      </c>
      <c r="B56" s="41">
        <v>3000</v>
      </c>
      <c r="C56" s="41">
        <v>4000</v>
      </c>
      <c r="D56" s="42">
        <f t="shared" si="5"/>
        <v>24000</v>
      </c>
      <c r="E56" s="117">
        <f t="shared" si="6"/>
        <v>27000</v>
      </c>
      <c r="F56" s="118" t="s">
        <v>500</v>
      </c>
    </row>
    <row r="57" spans="1:6" ht="14.25" customHeight="1">
      <c r="A57" s="30" t="s">
        <v>501</v>
      </c>
      <c r="B57" s="41">
        <v>4000</v>
      </c>
      <c r="C57" s="41">
        <v>1200</v>
      </c>
      <c r="D57" s="42">
        <f t="shared" si="5"/>
        <v>7200</v>
      </c>
      <c r="E57" s="117">
        <f t="shared" si="6"/>
        <v>11200</v>
      </c>
      <c r="F57" s="118" t="s">
        <v>502</v>
      </c>
    </row>
    <row r="58" spans="1:6" ht="14.25" customHeight="1">
      <c r="A58" s="119" t="s">
        <v>432</v>
      </c>
      <c r="B58" s="41">
        <f>SUM(B51:B57)</f>
        <v>27000</v>
      </c>
      <c r="C58" s="41">
        <f>SUM(C51:C57)</f>
        <v>36200</v>
      </c>
      <c r="D58" s="41">
        <f>SUM(D51:D57)</f>
        <v>217200</v>
      </c>
      <c r="E58" s="41">
        <f>SUM(E51:E57)</f>
        <v>244200</v>
      </c>
    </row>
    <row r="60" spans="1:6" ht="14.25" customHeight="1">
      <c r="A60" s="187" t="s">
        <v>503</v>
      </c>
      <c r="B60" s="187"/>
      <c r="C60" s="187"/>
      <c r="D60" s="187"/>
      <c r="E60" s="187"/>
      <c r="F60" s="187"/>
    </row>
    <row r="61" spans="1:6" ht="14.25" customHeight="1">
      <c r="A61" s="30" t="s">
        <v>504</v>
      </c>
      <c r="B61" s="41">
        <v>100000</v>
      </c>
      <c r="C61" s="41">
        <v>0</v>
      </c>
      <c r="D61" s="42">
        <f>C61*6</f>
        <v>0</v>
      </c>
      <c r="E61" s="117">
        <f>B61+D61</f>
        <v>100000</v>
      </c>
      <c r="F61" s="118" t="s">
        <v>505</v>
      </c>
    </row>
    <row r="62" spans="1:6" ht="14.25" customHeight="1">
      <c r="A62" s="30" t="s">
        <v>506</v>
      </c>
      <c r="B62" s="41">
        <v>20000</v>
      </c>
      <c r="C62" s="41">
        <v>0</v>
      </c>
      <c r="D62" s="42">
        <f>C62*6</f>
        <v>0</v>
      </c>
      <c r="E62" s="117">
        <f>B62+D62</f>
        <v>20000</v>
      </c>
      <c r="F62" s="118" t="s">
        <v>507</v>
      </c>
    </row>
    <row r="63" spans="1:6" ht="14.25" customHeight="1">
      <c r="A63" s="30" t="s">
        <v>508</v>
      </c>
      <c r="B63" s="41">
        <v>15000</v>
      </c>
      <c r="C63" s="41">
        <v>0</v>
      </c>
      <c r="D63" s="42">
        <f>C63*6</f>
        <v>0</v>
      </c>
      <c r="E63" s="117">
        <f>B63+D63</f>
        <v>15000</v>
      </c>
      <c r="F63" s="118" t="s">
        <v>509</v>
      </c>
    </row>
    <row r="64" spans="1:6" ht="14.25" customHeight="1">
      <c r="A64" s="121" t="s">
        <v>510</v>
      </c>
      <c r="B64" s="42">
        <f>ROUND(0.1*(B11+B19+B29+B39+B48+B58),0)</f>
        <v>63800</v>
      </c>
      <c r="C64" s="42">
        <f>ROUND(0.1*(C11+C19+C29+C39+C48+C58),0)</f>
        <v>9473</v>
      </c>
      <c r="D64" s="42">
        <f>C64*6</f>
        <v>56838</v>
      </c>
      <c r="E64" s="117">
        <f>B64+D64</f>
        <v>120638</v>
      </c>
      <c r="F64" s="118" t="s">
        <v>511</v>
      </c>
    </row>
    <row r="65" spans="1:6" ht="14.25" customHeight="1">
      <c r="A65" s="119" t="s">
        <v>512</v>
      </c>
      <c r="B65" s="41">
        <f>SUM(B61:B64)</f>
        <v>198800</v>
      </c>
      <c r="C65" s="41">
        <f>SUM(C61:C64)</f>
        <v>9473</v>
      </c>
      <c r="D65" s="41">
        <f>SUM(D61:D64)</f>
        <v>56838</v>
      </c>
      <c r="E65" s="41">
        <f>SUM(E61:E64)</f>
        <v>255638</v>
      </c>
    </row>
    <row r="68" spans="1:6" ht="14.25" customHeight="1">
      <c r="A68" s="187" t="s">
        <v>513</v>
      </c>
      <c r="B68" s="187"/>
      <c r="C68" s="187"/>
      <c r="D68" s="187"/>
      <c r="E68" s="187"/>
      <c r="F68" s="187"/>
    </row>
    <row r="69" spans="1:6" ht="25.5" customHeight="1">
      <c r="A69" s="122" t="s">
        <v>514</v>
      </c>
      <c r="B69" s="123">
        <f>B11+B19+B29+B39+B48+B58+B65</f>
        <v>836800</v>
      </c>
      <c r="C69" s="123">
        <f>C11+C19+C29+C39+C48+C58+C65</f>
        <v>104206.33333333334</v>
      </c>
      <c r="D69" s="123">
        <f>D11+D19+D29+D39+D48+D58+D65</f>
        <v>625238</v>
      </c>
      <c r="E69" s="123">
        <f>E11+E19+E29+E39+E48+E58+E65</f>
        <v>1462038</v>
      </c>
    </row>
    <row r="72" spans="1:6" ht="14.25" customHeight="1">
      <c r="A72" s="187" t="s">
        <v>515</v>
      </c>
      <c r="B72" s="187"/>
      <c r="C72" s="187"/>
      <c r="D72" s="187"/>
      <c r="E72" s="187"/>
      <c r="F72" s="187"/>
    </row>
    <row r="73" spans="1:6" ht="14.25" customHeight="1">
      <c r="A73" s="39" t="s">
        <v>293</v>
      </c>
      <c r="B73" s="39" t="s">
        <v>516</v>
      </c>
      <c r="C73" s="39" t="s">
        <v>517</v>
      </c>
      <c r="D73" s="188" t="s">
        <v>174</v>
      </c>
      <c r="E73" s="188"/>
      <c r="F73" s="188"/>
    </row>
    <row r="74" spans="1:6" ht="15" customHeight="1">
      <c r="A74" s="30" t="s">
        <v>518</v>
      </c>
      <c r="B74" s="117">
        <f>ROUND(E69*0.15,0)</f>
        <v>219306</v>
      </c>
      <c r="C74" s="124">
        <v>0.15</v>
      </c>
      <c r="D74" s="189" t="s">
        <v>519</v>
      </c>
      <c r="E74" s="189"/>
      <c r="F74" s="189"/>
    </row>
    <row r="75" spans="1:6" ht="15" customHeight="1">
      <c r="A75" s="30" t="s">
        <v>520</v>
      </c>
      <c r="B75" s="117">
        <f>ROUND(E69*0.2,0)</f>
        <v>292408</v>
      </c>
      <c r="C75" s="124">
        <v>0.2</v>
      </c>
      <c r="D75" s="189" t="s">
        <v>521</v>
      </c>
      <c r="E75" s="189"/>
      <c r="F75" s="189"/>
    </row>
    <row r="76" spans="1:6" ht="15" customHeight="1">
      <c r="A76" s="30" t="s">
        <v>522</v>
      </c>
      <c r="B76" s="117">
        <f>ROUND(E69*0.65,0)</f>
        <v>950325</v>
      </c>
      <c r="C76" s="124">
        <v>0.65</v>
      </c>
      <c r="D76" s="189" t="s">
        <v>523</v>
      </c>
      <c r="E76" s="189"/>
      <c r="F76" s="189"/>
    </row>
    <row r="77" spans="1:6" ht="15" customHeight="1">
      <c r="A77" s="125" t="s">
        <v>524</v>
      </c>
      <c r="B77" s="123">
        <f>SUM(B74:B76)</f>
        <v>1462039</v>
      </c>
      <c r="C77" s="126">
        <f>SUM(C74:C76)</f>
        <v>1</v>
      </c>
      <c r="D77" s="186" t="s">
        <v>525</v>
      </c>
      <c r="E77" s="186"/>
      <c r="F77" s="186"/>
    </row>
    <row r="80" spans="1:6" ht="14.25" customHeight="1">
      <c r="A80" s="187" t="s">
        <v>526</v>
      </c>
      <c r="B80" s="187"/>
      <c r="C80" s="187"/>
      <c r="D80" s="187"/>
      <c r="E80" s="187"/>
      <c r="F80" s="187"/>
    </row>
    <row r="82" spans="1:2" ht="14.25" customHeight="1">
      <c r="A82" s="39" t="s">
        <v>311</v>
      </c>
      <c r="B82" s="39" t="s">
        <v>527</v>
      </c>
    </row>
    <row r="83" spans="1:2" ht="14.25" customHeight="1">
      <c r="A83" s="30" t="s">
        <v>528</v>
      </c>
      <c r="B83" s="117">
        <f>E11</f>
        <v>34800</v>
      </c>
    </row>
    <row r="84" spans="1:2" ht="14.25" customHeight="1">
      <c r="A84" s="30" t="s">
        <v>529</v>
      </c>
      <c r="B84" s="117">
        <f>E19</f>
        <v>118000</v>
      </c>
    </row>
    <row r="85" spans="1:2" ht="14.25" customHeight="1">
      <c r="A85" s="30" t="s">
        <v>530</v>
      </c>
      <c r="B85" s="117">
        <f>E29</f>
        <v>300200</v>
      </c>
    </row>
    <row r="86" spans="1:2" ht="14.25" customHeight="1">
      <c r="A86" s="30" t="s">
        <v>531</v>
      </c>
      <c r="B86" s="117">
        <f>E39</f>
        <v>185200</v>
      </c>
    </row>
    <row r="87" spans="1:2" ht="14.25" customHeight="1">
      <c r="A87" s="30" t="s">
        <v>532</v>
      </c>
      <c r="B87" s="117">
        <f>E48</f>
        <v>324000</v>
      </c>
    </row>
    <row r="88" spans="1:2" ht="14.25" customHeight="1">
      <c r="A88" s="30" t="s">
        <v>533</v>
      </c>
      <c r="B88" s="117">
        <f>E58</f>
        <v>244200</v>
      </c>
    </row>
    <row r="89" spans="1:2" ht="14.25" customHeight="1">
      <c r="A89" s="30" t="s">
        <v>534</v>
      </c>
      <c r="B89" s="117">
        <f>E65</f>
        <v>255638</v>
      </c>
    </row>
  </sheetData>
  <mergeCells count="16">
    <mergeCell ref="A2:F2"/>
    <mergeCell ref="A5:F5"/>
    <mergeCell ref="A13:F13"/>
    <mergeCell ref="A21:F21"/>
    <mergeCell ref="A31:F31"/>
    <mergeCell ref="A41:F41"/>
    <mergeCell ref="A50:F50"/>
    <mergeCell ref="A60:F60"/>
    <mergeCell ref="A68:F68"/>
    <mergeCell ref="D77:F77"/>
    <mergeCell ref="A80:F80"/>
    <mergeCell ref="A72:F72"/>
    <mergeCell ref="D73:F73"/>
    <mergeCell ref="D74:F74"/>
    <mergeCell ref="D75:F75"/>
    <mergeCell ref="D76:F76"/>
  </mergeCells>
  <hyperlinks>
    <hyperlink ref="I1" location="'1. Master P&amp;L Summary'!A1" display="↑ P&amp;L" xr:uid="{00000000-0004-0000-0600-000000000000}"/>
    <hyperlink ref="P1" location="'1. Master P&amp;L Summary'!A1" display="↑ P&amp;L" xr:uid="{00000000-0004-0000-0600-000001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5"/>
  <sheetViews>
    <sheetView showGridLines="0" zoomScale="93" zoomScaleNormal="93" workbookViewId="0"/>
  </sheetViews>
  <sheetFormatPr defaultColWidth="8.69140625" defaultRowHeight="14.6"/>
  <cols>
    <col min="1" max="1" width="32" customWidth="1"/>
    <col min="2" max="2" width="16" customWidth="1"/>
    <col min="3" max="6" width="14" customWidth="1"/>
    <col min="7" max="8" width="18" customWidth="1"/>
    <col min="9" max="10" width="14" customWidth="1"/>
    <col min="16" max="16" width="14" customWidth="1"/>
  </cols>
  <sheetData>
    <row r="1" spans="1:16" ht="27.75" customHeight="1" thickBot="1">
      <c r="A1" s="184" t="s">
        <v>535</v>
      </c>
      <c r="B1" s="184"/>
      <c r="C1" s="184"/>
      <c r="D1" s="184"/>
      <c r="E1" s="184"/>
      <c r="F1" s="184"/>
      <c r="G1" s="184"/>
      <c r="H1" s="184"/>
      <c r="I1" s="4" t="s">
        <v>72</v>
      </c>
      <c r="P1" s="4" t="s">
        <v>72</v>
      </c>
    </row>
    <row r="2" spans="1:16" ht="14.25" customHeight="1">
      <c r="A2" s="190" t="s">
        <v>536</v>
      </c>
      <c r="B2" s="190"/>
      <c r="C2" s="190"/>
      <c r="D2" s="190"/>
      <c r="E2" s="190"/>
      <c r="F2" s="190"/>
      <c r="G2" s="190"/>
      <c r="H2" s="190"/>
    </row>
    <row r="4" spans="1:16" ht="14.25" customHeight="1">
      <c r="A4" s="187" t="s">
        <v>537</v>
      </c>
      <c r="B4" s="187"/>
      <c r="C4" s="187"/>
      <c r="D4" s="187"/>
      <c r="E4" s="187"/>
      <c r="F4" s="187"/>
      <c r="G4" s="187"/>
      <c r="H4" s="187"/>
    </row>
    <row r="5" spans="1:16" ht="15" customHeight="1">
      <c r="A5" s="30" t="s">
        <v>538</v>
      </c>
      <c r="B5" s="117">
        <f>'7. Start-up Requirements'!E69</f>
        <v>1462038</v>
      </c>
      <c r="C5" s="189" t="s">
        <v>539</v>
      </c>
      <c r="D5" s="189"/>
      <c r="E5" s="189"/>
      <c r="F5" s="189"/>
      <c r="G5" s="189"/>
      <c r="H5" s="189"/>
    </row>
    <row r="6" spans="1:16" ht="15" customHeight="1">
      <c r="A6" s="30" t="s">
        <v>540</v>
      </c>
      <c r="B6" s="127">
        <v>0.25</v>
      </c>
      <c r="C6" s="189" t="s">
        <v>541</v>
      </c>
      <c r="D6" s="189"/>
      <c r="E6" s="189"/>
      <c r="F6" s="189"/>
      <c r="G6" s="189"/>
      <c r="H6" s="189"/>
    </row>
    <row r="7" spans="1:16" ht="14.25" customHeight="1">
      <c r="A7" s="30" t="s">
        <v>130</v>
      </c>
      <c r="B7" s="117">
        <f>B5*B6</f>
        <v>365509.5</v>
      </c>
    </row>
    <row r="8" spans="1:16" ht="15" customHeight="1">
      <c r="A8" s="30" t="s">
        <v>128</v>
      </c>
      <c r="B8" s="41">
        <v>20000000</v>
      </c>
      <c r="C8" s="189" t="s">
        <v>542</v>
      </c>
      <c r="D8" s="189"/>
      <c r="E8" s="189"/>
      <c r="F8" s="189"/>
      <c r="G8" s="189"/>
      <c r="H8" s="189"/>
    </row>
    <row r="9" spans="1:16" ht="14.25" customHeight="1">
      <c r="A9" s="30" t="s">
        <v>129</v>
      </c>
      <c r="B9" s="117">
        <f>B8+B7</f>
        <v>20365509.5</v>
      </c>
    </row>
    <row r="10" spans="1:16" ht="14.25" customHeight="1">
      <c r="A10" s="30" t="s">
        <v>543</v>
      </c>
      <c r="B10" s="128">
        <f>B7/B9</f>
        <v>1.7947476344748459E-2</v>
      </c>
    </row>
    <row r="11" spans="1:16" ht="15" customHeight="1">
      <c r="A11" s="30" t="s">
        <v>544</v>
      </c>
      <c r="B11" s="127">
        <v>0.25</v>
      </c>
      <c r="C11" s="189" t="s">
        <v>545</v>
      </c>
      <c r="D11" s="189"/>
      <c r="E11" s="189"/>
      <c r="F11" s="189"/>
      <c r="G11" s="189"/>
      <c r="H11" s="189"/>
    </row>
    <row r="12" spans="1:16" ht="14.25" customHeight="1">
      <c r="A12" s="30" t="s">
        <v>546</v>
      </c>
      <c r="B12" s="42">
        <f>'7. Start-up Requirements'!B74</f>
        <v>219306</v>
      </c>
    </row>
    <row r="13" spans="1:16" ht="15" customHeight="1">
      <c r="A13" s="30" t="s">
        <v>547</v>
      </c>
      <c r="B13" s="127">
        <v>0.2</v>
      </c>
      <c r="C13" s="189" t="s">
        <v>548</v>
      </c>
      <c r="D13" s="189"/>
      <c r="E13" s="189"/>
      <c r="F13" s="189"/>
      <c r="G13" s="189"/>
      <c r="H13" s="189"/>
    </row>
    <row r="14" spans="1:16" ht="15" customHeight="1">
      <c r="A14" s="30" t="s">
        <v>549</v>
      </c>
      <c r="B14" s="41">
        <v>6000000</v>
      </c>
      <c r="C14" s="189" t="s">
        <v>550</v>
      </c>
      <c r="D14" s="189"/>
      <c r="E14" s="189"/>
      <c r="F14" s="189"/>
      <c r="G14" s="189"/>
      <c r="H14" s="189"/>
    </row>
    <row r="15" spans="1:16" ht="14.25" customHeight="1">
      <c r="A15" s="30" t="s">
        <v>551</v>
      </c>
      <c r="B15" s="128">
        <f>B12/MIN(B14,B8*(1-B13))</f>
        <v>3.6551E-2</v>
      </c>
    </row>
    <row r="17" spans="1:8" ht="14.25" customHeight="1">
      <c r="A17" s="187" t="s">
        <v>552</v>
      </c>
      <c r="B17" s="187"/>
      <c r="C17" s="187"/>
      <c r="D17" s="187"/>
      <c r="E17" s="187"/>
      <c r="F17" s="187"/>
      <c r="G17" s="187"/>
      <c r="H17" s="187"/>
    </row>
    <row r="18" spans="1:8" ht="14.25" customHeight="1">
      <c r="A18" s="39" t="s">
        <v>553</v>
      </c>
      <c r="B18" s="39" t="s">
        <v>554</v>
      </c>
      <c r="C18" s="39" t="s">
        <v>555</v>
      </c>
      <c r="D18" s="39" t="s">
        <v>556</v>
      </c>
      <c r="E18" s="39" t="s">
        <v>557</v>
      </c>
      <c r="F18" s="39" t="s">
        <v>558</v>
      </c>
      <c r="G18" s="188" t="s">
        <v>174</v>
      </c>
      <c r="H18" s="188"/>
    </row>
    <row r="19" spans="1:8" ht="15" customHeight="1">
      <c r="A19" s="129" t="s">
        <v>559</v>
      </c>
      <c r="B19" s="30" t="s">
        <v>560</v>
      </c>
      <c r="C19" s="130">
        <v>3000000</v>
      </c>
      <c r="D19" s="128">
        <f>C19/SUM(C$19:C$22)</f>
        <v>0.3</v>
      </c>
      <c r="E19" s="131" t="s">
        <v>561</v>
      </c>
      <c r="F19" s="131" t="s">
        <v>562</v>
      </c>
      <c r="G19" s="189" t="s">
        <v>563</v>
      </c>
      <c r="H19" s="189"/>
    </row>
    <row r="20" spans="1:8" ht="15" customHeight="1">
      <c r="A20" s="129" t="s">
        <v>564</v>
      </c>
      <c r="B20" s="30" t="s">
        <v>565</v>
      </c>
      <c r="C20" s="130">
        <v>3000000</v>
      </c>
      <c r="D20" s="128">
        <f>C20/SUM(C$19:C$22)</f>
        <v>0.3</v>
      </c>
      <c r="E20" s="131" t="s">
        <v>561</v>
      </c>
      <c r="F20" s="131" t="s">
        <v>562</v>
      </c>
      <c r="G20" s="208" t="s">
        <v>566</v>
      </c>
      <c r="H20" s="208"/>
    </row>
    <row r="21" spans="1:8" ht="15" customHeight="1">
      <c r="A21" s="129" t="s">
        <v>567</v>
      </c>
      <c r="B21" s="30" t="s">
        <v>568</v>
      </c>
      <c r="C21" s="130">
        <v>3000000</v>
      </c>
      <c r="D21" s="128">
        <f>C21/SUM(C$19:C$22)</f>
        <v>0.3</v>
      </c>
      <c r="E21" s="131" t="s">
        <v>561</v>
      </c>
      <c r="F21" s="131" t="s">
        <v>562</v>
      </c>
      <c r="G21" s="189" t="s">
        <v>569</v>
      </c>
      <c r="H21" s="189"/>
    </row>
    <row r="22" spans="1:8" ht="15" customHeight="1">
      <c r="A22" s="129" t="s">
        <v>570</v>
      </c>
      <c r="B22" s="30" t="s">
        <v>571</v>
      </c>
      <c r="C22" s="130">
        <v>1000000</v>
      </c>
      <c r="D22" s="128">
        <f>C22/SUM(C$19:C$22)</f>
        <v>0.1</v>
      </c>
      <c r="E22" s="131" t="s">
        <v>62</v>
      </c>
      <c r="F22" s="131" t="s">
        <v>62</v>
      </c>
      <c r="G22" s="189" t="s">
        <v>572</v>
      </c>
      <c r="H22" s="189"/>
    </row>
    <row r="23" spans="1:8" ht="14.25" customHeight="1">
      <c r="A23" s="125" t="s">
        <v>573</v>
      </c>
      <c r="B23" s="132" t="s">
        <v>62</v>
      </c>
      <c r="C23" s="133">
        <f>SUM(C19:C22)</f>
        <v>10000000</v>
      </c>
      <c r="D23" s="134">
        <f>SUM(D19:D22)</f>
        <v>0.99999999999999989</v>
      </c>
      <c r="E23" s="135" t="s">
        <v>62</v>
      </c>
      <c r="F23" s="135" t="s">
        <v>62</v>
      </c>
      <c r="G23" s="135" t="s">
        <v>62</v>
      </c>
      <c r="H23" s="135" t="s">
        <v>62</v>
      </c>
    </row>
    <row r="26" spans="1:8" ht="14.25" customHeight="1">
      <c r="A26" s="187" t="s">
        <v>574</v>
      </c>
      <c r="B26" s="187"/>
      <c r="C26" s="187"/>
      <c r="D26" s="187"/>
      <c r="E26" s="187"/>
      <c r="F26" s="187"/>
      <c r="G26" s="187"/>
      <c r="H26" s="187"/>
    </row>
    <row r="27" spans="1:8" ht="14.25" customHeight="1">
      <c r="A27" s="39" t="s">
        <v>553</v>
      </c>
      <c r="B27" s="39" t="s">
        <v>9</v>
      </c>
      <c r="C27" s="39" t="s">
        <v>575</v>
      </c>
      <c r="D27" s="39" t="s">
        <v>576</v>
      </c>
      <c r="E27" s="39" t="s">
        <v>577</v>
      </c>
      <c r="F27" s="39" t="s">
        <v>578</v>
      </c>
      <c r="G27" s="188" t="s">
        <v>174</v>
      </c>
      <c r="H27" s="188"/>
    </row>
    <row r="28" spans="1:8">
      <c r="A28" s="129" t="s">
        <v>559</v>
      </c>
      <c r="B28" s="30" t="s">
        <v>579</v>
      </c>
      <c r="C28" s="43">
        <f>D19</f>
        <v>0.3</v>
      </c>
      <c r="D28" s="43">
        <f>C28*(B10+B15)</f>
        <v>1.6349542903424535E-2</v>
      </c>
      <c r="E28" s="128">
        <f>C28-D28</f>
        <v>0.28365045709657544</v>
      </c>
      <c r="F28" s="117">
        <f>E28*B9</f>
        <v>5776686.0786796492</v>
      </c>
      <c r="G28" s="189" t="s">
        <v>580</v>
      </c>
      <c r="H28" s="189"/>
    </row>
    <row r="29" spans="1:8">
      <c r="A29" s="129" t="s">
        <v>564</v>
      </c>
      <c r="B29" s="30" t="s">
        <v>579</v>
      </c>
      <c r="C29" s="43">
        <f>D20</f>
        <v>0.3</v>
      </c>
      <c r="D29" s="43">
        <f>C29*(B10+B15)</f>
        <v>1.6349542903424535E-2</v>
      </c>
      <c r="E29" s="128">
        <f>C29-D29</f>
        <v>0.28365045709657544</v>
      </c>
      <c r="F29" s="117">
        <f>E29*B9</f>
        <v>5776686.0786796492</v>
      </c>
      <c r="G29" s="189" t="s">
        <v>580</v>
      </c>
      <c r="H29" s="189"/>
    </row>
    <row r="30" spans="1:8">
      <c r="A30" s="129" t="s">
        <v>567</v>
      </c>
      <c r="B30" s="30" t="s">
        <v>579</v>
      </c>
      <c r="C30" s="43">
        <f>D21</f>
        <v>0.3</v>
      </c>
      <c r="D30" s="43">
        <f>C30*(B10+B15)</f>
        <v>1.6349542903424535E-2</v>
      </c>
      <c r="E30" s="128">
        <f>C30-D30</f>
        <v>0.28365045709657544</v>
      </c>
      <c r="F30" s="117">
        <f>E30*B9</f>
        <v>5776686.0786796492</v>
      </c>
      <c r="G30" s="189" t="s">
        <v>580</v>
      </c>
      <c r="H30" s="189"/>
    </row>
    <row r="31" spans="1:8">
      <c r="A31" s="129" t="s">
        <v>581</v>
      </c>
      <c r="B31" s="30" t="s">
        <v>582</v>
      </c>
      <c r="C31" s="43">
        <f>D22</f>
        <v>0.1</v>
      </c>
      <c r="D31" s="43">
        <f>C31*(B10+B15)</f>
        <v>5.4498476344748458E-3</v>
      </c>
      <c r="E31" s="128">
        <f>C31-D31</f>
        <v>9.4550152365525164E-2</v>
      </c>
      <c r="F31" s="117">
        <f>E31*B9</f>
        <v>1925562.0262265501</v>
      </c>
      <c r="G31" s="189" t="s">
        <v>580</v>
      </c>
      <c r="H31" s="189"/>
    </row>
    <row r="32" spans="1:8">
      <c r="A32" s="129" t="s">
        <v>583</v>
      </c>
      <c r="B32" s="30" t="s">
        <v>584</v>
      </c>
      <c r="C32" s="43">
        <v>0</v>
      </c>
      <c r="D32" s="43">
        <v>0</v>
      </c>
      <c r="E32" s="128">
        <f>B15</f>
        <v>3.6551E-2</v>
      </c>
      <c r="F32" s="117">
        <f>E32*B9</f>
        <v>744379.73773449997</v>
      </c>
      <c r="G32" s="189" t="s">
        <v>585</v>
      </c>
      <c r="H32" s="189"/>
    </row>
    <row r="33" spans="1:8">
      <c r="A33" s="129" t="s">
        <v>586</v>
      </c>
      <c r="B33" s="30" t="s">
        <v>587</v>
      </c>
      <c r="C33" s="43">
        <v>0</v>
      </c>
      <c r="D33" s="43">
        <v>0</v>
      </c>
      <c r="E33" s="128">
        <f>B10</f>
        <v>1.7947476344748459E-2</v>
      </c>
      <c r="F33" s="117">
        <f>E33*B9</f>
        <v>365509.5</v>
      </c>
      <c r="G33" s="189" t="s">
        <v>588</v>
      </c>
      <c r="H33" s="189"/>
    </row>
    <row r="34" spans="1:8">
      <c r="A34" s="129" t="s">
        <v>589</v>
      </c>
      <c r="B34" s="30" t="s">
        <v>590</v>
      </c>
      <c r="C34" s="43">
        <v>0</v>
      </c>
      <c r="D34" s="43">
        <v>0</v>
      </c>
      <c r="E34" s="128">
        <v>0</v>
      </c>
      <c r="F34" s="117">
        <v>0</v>
      </c>
      <c r="G34" s="189" t="s">
        <v>591</v>
      </c>
      <c r="H34" s="189"/>
    </row>
    <row r="35" spans="1:8">
      <c r="A35" s="125" t="s">
        <v>592</v>
      </c>
      <c r="B35" s="135" t="s">
        <v>62</v>
      </c>
      <c r="C35" s="134">
        <f>SUM(C28:C34)</f>
        <v>0.99999999999999989</v>
      </c>
      <c r="D35" s="134">
        <f>SUM(D28:D34)</f>
        <v>5.4498476344748449E-2</v>
      </c>
      <c r="E35" s="134">
        <f>SUM(E28:E34)</f>
        <v>1</v>
      </c>
      <c r="F35" s="123">
        <f>SUM(F28:F34)</f>
        <v>20365509.499999996</v>
      </c>
      <c r="G35" s="218" t="s">
        <v>593</v>
      </c>
      <c r="H35" s="218"/>
    </row>
    <row r="38" spans="1:8" ht="14.25" customHeight="1">
      <c r="A38" s="187" t="s">
        <v>594</v>
      </c>
      <c r="B38" s="187"/>
      <c r="C38" s="187"/>
      <c r="D38" s="187"/>
      <c r="E38" s="187"/>
      <c r="F38" s="187"/>
      <c r="G38" s="187"/>
      <c r="H38" s="187"/>
    </row>
    <row r="39" spans="1:8" ht="14.25" customHeight="1">
      <c r="A39" s="39" t="s">
        <v>173</v>
      </c>
      <c r="B39" s="39" t="s">
        <v>292</v>
      </c>
      <c r="C39" s="188" t="s">
        <v>174</v>
      </c>
      <c r="D39" s="188"/>
      <c r="E39" s="188"/>
      <c r="F39" s="188"/>
      <c r="G39" s="188"/>
      <c r="H39" s="188"/>
    </row>
    <row r="40" spans="1:8" ht="15" customHeight="1">
      <c r="A40" s="30" t="s">
        <v>595</v>
      </c>
      <c r="B40" s="41">
        <v>4000000</v>
      </c>
      <c r="C40" s="189" t="s">
        <v>596</v>
      </c>
      <c r="D40" s="189"/>
      <c r="E40" s="189"/>
      <c r="F40" s="189"/>
      <c r="G40" s="189"/>
      <c r="H40" s="189"/>
    </row>
    <row r="41" spans="1:8" ht="15" customHeight="1">
      <c r="A41" s="30" t="s">
        <v>597</v>
      </c>
      <c r="B41" s="41">
        <v>25000000</v>
      </c>
      <c r="C41" s="189" t="s">
        <v>598</v>
      </c>
      <c r="D41" s="189"/>
      <c r="E41" s="189"/>
      <c r="F41" s="189"/>
      <c r="G41" s="189"/>
      <c r="H41" s="189"/>
    </row>
    <row r="42" spans="1:8" ht="15" customHeight="1">
      <c r="A42" s="30" t="s">
        <v>599</v>
      </c>
      <c r="B42" s="128">
        <f>B40/(B41+B40)</f>
        <v>0.13793103448275862</v>
      </c>
      <c r="C42" s="189" t="s">
        <v>600</v>
      </c>
      <c r="D42" s="189"/>
      <c r="E42" s="189"/>
      <c r="F42" s="189"/>
      <c r="G42" s="189"/>
      <c r="H42" s="189"/>
    </row>
    <row r="43" spans="1:8" ht="15" customHeight="1">
      <c r="A43" s="30" t="s">
        <v>601</v>
      </c>
      <c r="B43" s="128">
        <f>E28*(1-B42)</f>
        <v>0.24452625611773743</v>
      </c>
      <c r="C43" s="117">
        <f>B43*B9*(B41+B40)/B9</f>
        <v>7091261.4274143847</v>
      </c>
      <c r="D43" s="189" t="s">
        <v>602</v>
      </c>
      <c r="E43" s="189"/>
      <c r="F43" s="189"/>
      <c r="G43" s="189"/>
      <c r="H43" s="189"/>
    </row>
    <row r="44" spans="1:8" ht="15" customHeight="1">
      <c r="A44" s="30" t="s">
        <v>603</v>
      </c>
      <c r="B44" s="128">
        <f>(E28+E29+E30)*(1-B42)</f>
        <v>0.73357876835321234</v>
      </c>
      <c r="C44" s="117">
        <f>B44*(B41+B40)</f>
        <v>21273784.282243159</v>
      </c>
      <c r="D44" s="189" t="s">
        <v>604</v>
      </c>
      <c r="E44" s="189"/>
      <c r="F44" s="189"/>
      <c r="G44" s="189"/>
      <c r="H44" s="189"/>
    </row>
    <row r="47" spans="1:8" ht="14.25" customHeight="1">
      <c r="A47" s="187" t="s">
        <v>605</v>
      </c>
      <c r="B47" s="187"/>
      <c r="C47" s="187"/>
      <c r="D47" s="187"/>
      <c r="E47" s="187"/>
      <c r="F47" s="187"/>
      <c r="G47" s="187"/>
      <c r="H47" s="187"/>
    </row>
    <row r="49" spans="1:2" ht="14.25" customHeight="1">
      <c r="A49" s="39" t="s">
        <v>553</v>
      </c>
      <c r="B49" s="39" t="s">
        <v>606</v>
      </c>
    </row>
    <row r="50" spans="1:2" ht="14.25" customHeight="1">
      <c r="A50" s="30" t="s">
        <v>559</v>
      </c>
      <c r="B50" s="128">
        <f t="shared" ref="B50:B55" si="0">E28</f>
        <v>0.28365045709657544</v>
      </c>
    </row>
    <row r="51" spans="1:2" ht="14.25" customHeight="1">
      <c r="A51" s="30" t="s">
        <v>607</v>
      </c>
      <c r="B51" s="128">
        <f t="shared" si="0"/>
        <v>0.28365045709657544</v>
      </c>
    </row>
    <row r="52" spans="1:2" ht="14.25" customHeight="1">
      <c r="A52" s="30" t="s">
        <v>608</v>
      </c>
      <c r="B52" s="128">
        <f t="shared" si="0"/>
        <v>0.28365045709657544</v>
      </c>
    </row>
    <row r="53" spans="1:2" ht="14.25" customHeight="1">
      <c r="A53" s="30" t="s">
        <v>581</v>
      </c>
      <c r="B53" s="128">
        <f t="shared" si="0"/>
        <v>9.4550152365525164E-2</v>
      </c>
    </row>
    <row r="54" spans="1:2" ht="14.25" customHeight="1">
      <c r="A54" s="30" t="s">
        <v>609</v>
      </c>
      <c r="B54" s="128">
        <f t="shared" si="0"/>
        <v>3.6551E-2</v>
      </c>
    </row>
    <row r="55" spans="1:2" ht="14.25" customHeight="1">
      <c r="A55" s="30" t="s">
        <v>610</v>
      </c>
      <c r="B55" s="128">
        <f t="shared" si="0"/>
        <v>1.7947476344748459E-2</v>
      </c>
    </row>
  </sheetData>
  <mergeCells count="32">
    <mergeCell ref="A2:H2"/>
    <mergeCell ref="A4:H4"/>
    <mergeCell ref="C5:H5"/>
    <mergeCell ref="C6:H6"/>
    <mergeCell ref="C8:H8"/>
    <mergeCell ref="C11:H11"/>
    <mergeCell ref="C13:H13"/>
    <mergeCell ref="C14:H14"/>
    <mergeCell ref="A17:H17"/>
    <mergeCell ref="G18:H18"/>
    <mergeCell ref="G19:H19"/>
    <mergeCell ref="G20:H20"/>
    <mergeCell ref="G21:H21"/>
    <mergeCell ref="G22:H22"/>
    <mergeCell ref="A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D43:H43"/>
    <mergeCell ref="D44:H44"/>
    <mergeCell ref="A47:H47"/>
    <mergeCell ref="A38:H38"/>
    <mergeCell ref="C39:H39"/>
    <mergeCell ref="C40:H40"/>
    <mergeCell ref="C41:H41"/>
    <mergeCell ref="C42:H42"/>
  </mergeCells>
  <hyperlinks>
    <hyperlink ref="I1" location="'1. Master P&amp;L Summary'!A1" display="↑ P&amp;L" xr:uid="{00000000-0004-0000-0700-000000000000}"/>
    <hyperlink ref="P1" location="'1. Master P&amp;L Summary'!A1" display="↑ P&amp;L" xr:uid="{00000000-0004-0000-0700-000001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8"/>
  <sheetViews>
    <sheetView showGridLines="0" zoomScale="76" zoomScaleNormal="93" workbookViewId="0">
      <selection activeCell="H9" sqref="H9"/>
    </sheetView>
  </sheetViews>
  <sheetFormatPr defaultColWidth="8.69140625" defaultRowHeight="14.6"/>
  <cols>
    <col min="1" max="1" width="38" customWidth="1"/>
    <col min="2" max="7" width="14" customWidth="1"/>
    <col min="8" max="8" width="40" customWidth="1"/>
    <col min="9" max="10" width="14" customWidth="1"/>
    <col min="16" max="16" width="14" customWidth="1"/>
  </cols>
  <sheetData>
    <row r="1" spans="1:16" ht="27.75" customHeight="1" thickBot="1">
      <c r="A1" s="184" t="s">
        <v>611</v>
      </c>
      <c r="B1" s="184"/>
      <c r="C1" s="184"/>
      <c r="D1" s="184"/>
      <c r="E1" s="184"/>
      <c r="F1" s="184"/>
      <c r="G1" s="184"/>
      <c r="H1" s="184"/>
      <c r="I1" s="4" t="s">
        <v>72</v>
      </c>
      <c r="P1" s="4" t="s">
        <v>72</v>
      </c>
    </row>
    <row r="2" spans="1:16" ht="14.25" customHeight="1">
      <c r="A2" s="190" t="s">
        <v>612</v>
      </c>
      <c r="B2" s="190"/>
      <c r="C2" s="190"/>
      <c r="D2" s="190"/>
      <c r="E2" s="190"/>
      <c r="F2" s="190"/>
      <c r="G2" s="190"/>
      <c r="H2" s="190"/>
    </row>
    <row r="4" spans="1:16" ht="14.25" customHeight="1">
      <c r="A4" s="39" t="s">
        <v>104</v>
      </c>
      <c r="B4" s="39" t="s">
        <v>613</v>
      </c>
      <c r="C4" s="39" t="s">
        <v>105</v>
      </c>
      <c r="D4" s="39" t="s">
        <v>106</v>
      </c>
      <c r="E4" s="39" t="s">
        <v>107</v>
      </c>
      <c r="F4" s="39" t="s">
        <v>108</v>
      </c>
      <c r="G4" s="39" t="s">
        <v>109</v>
      </c>
      <c r="H4" s="39" t="s">
        <v>174</v>
      </c>
    </row>
    <row r="5" spans="1:16" ht="14.25" customHeight="1">
      <c r="A5" s="187" t="s">
        <v>614</v>
      </c>
      <c r="B5" s="187"/>
      <c r="C5" s="187"/>
      <c r="D5" s="187"/>
      <c r="E5" s="187"/>
      <c r="F5" s="187"/>
      <c r="G5" s="187"/>
      <c r="H5" s="187"/>
    </row>
    <row r="6" spans="1:16" ht="14.25" customHeight="1">
      <c r="A6" s="30" t="s">
        <v>615</v>
      </c>
      <c r="B6" s="137">
        <f>'10. Cash Flow'!B31</f>
        <v>133714</v>
      </c>
      <c r="C6" s="137">
        <f>'10. Cash Flow'!C31</f>
        <v>2188468.8325680001</v>
      </c>
      <c r="D6" s="137">
        <f>'10. Cash Flow'!D31</f>
        <v>11690586.961145002</v>
      </c>
      <c r="E6" s="137">
        <f>'10. Cash Flow'!E31</f>
        <v>20012351.811401874</v>
      </c>
      <c r="F6" s="137">
        <f>'10. Cash Flow'!F31</f>
        <v>32351070.10584949</v>
      </c>
      <c r="G6" s="137">
        <f>'10. Cash Flow'!G31</f>
        <v>47993195.069919594</v>
      </c>
      <c r="H6" s="118" t="s">
        <v>616</v>
      </c>
    </row>
    <row r="7" spans="1:16" ht="14.25" customHeight="1">
      <c r="A7" s="30" t="s">
        <v>617</v>
      </c>
      <c r="B7" s="138">
        <f>'7. Start-up Requirements'!B23+'7. Start-up Requirements'!B24</f>
        <v>210000</v>
      </c>
      <c r="C7" s="138">
        <f>B7+'7. Start-up Requirements'!B57</f>
        <v>214000</v>
      </c>
      <c r="D7" s="138">
        <f>C7*1.3</f>
        <v>278200</v>
      </c>
      <c r="E7" s="138">
        <f>D7*1.2</f>
        <v>333840</v>
      </c>
      <c r="F7" s="138">
        <f>E7*1.15</f>
        <v>383915.99999999994</v>
      </c>
      <c r="G7" s="138">
        <f>F7*1.1</f>
        <v>422307.6</v>
      </c>
      <c r="H7" s="118" t="s">
        <v>618</v>
      </c>
    </row>
    <row r="8" spans="1:16" ht="24" customHeight="1">
      <c r="A8" s="30" t="s">
        <v>619</v>
      </c>
      <c r="B8" s="138">
        <f t="shared" ref="B8:G8" si="0">B16</f>
        <v>0</v>
      </c>
      <c r="C8" s="138">
        <f t="shared" si="0"/>
        <v>20687520</v>
      </c>
      <c r="D8" s="138">
        <f t="shared" si="0"/>
        <v>41375040</v>
      </c>
      <c r="E8" s="138">
        <f t="shared" si="0"/>
        <v>62062560</v>
      </c>
      <c r="F8" s="138">
        <f t="shared" si="0"/>
        <v>86887584</v>
      </c>
      <c r="G8" s="138">
        <f t="shared" si="0"/>
        <v>108609480</v>
      </c>
      <c r="H8" s="118" t="s">
        <v>620</v>
      </c>
    </row>
    <row r="9" spans="1:16" ht="14.25" customHeight="1">
      <c r="A9" s="30" t="s">
        <v>621</v>
      </c>
      <c r="B9" s="138">
        <v>0</v>
      </c>
      <c r="C9" s="138">
        <f>'3. 5-Year Forecast'!B19*0.02</f>
        <v>61840.369031999995</v>
      </c>
      <c r="D9" s="138">
        <f>'3. 5-Year Forecast'!C19*0.02</f>
        <v>147634.29757999998</v>
      </c>
      <c r="E9" s="138">
        <f>'3. 5-Year Forecast'!D19*0.02</f>
        <v>221451.44636999999</v>
      </c>
      <c r="F9" s="138">
        <f>'3. 5-Year Forecast'!E19*0.02</f>
        <v>327997.19455499999</v>
      </c>
      <c r="G9" s="138">
        <f>'3. 5-Year Forecast'!F19*0.02</f>
        <v>423470.3704215</v>
      </c>
      <c r="H9" s="118" t="s">
        <v>622</v>
      </c>
    </row>
    <row r="10" spans="1:16" ht="14.25" customHeight="1">
      <c r="A10" s="30" t="s">
        <v>623</v>
      </c>
      <c r="B10" s="138">
        <f>'7. Start-up Requirements'!B22+'7. Start-up Requirements'!B26+'7. Start-up Requirements'!B33</f>
        <v>90000</v>
      </c>
      <c r="C10" s="138">
        <f>B10</f>
        <v>90000</v>
      </c>
      <c r="D10" s="138">
        <f>B10</f>
        <v>90000</v>
      </c>
      <c r="E10" s="138">
        <f>B10</f>
        <v>90000</v>
      </c>
      <c r="F10" s="138">
        <f>B10</f>
        <v>90000</v>
      </c>
      <c r="G10" s="138">
        <f>B10</f>
        <v>90000</v>
      </c>
      <c r="H10" s="118" t="s">
        <v>624</v>
      </c>
    </row>
    <row r="11" spans="1:16" ht="14.25" customHeight="1">
      <c r="A11" s="30" t="s">
        <v>625</v>
      </c>
      <c r="B11" s="138">
        <f>'7. Start-up Requirements'!B33+'7. Start-up Requirements'!B34+'7. Start-up Requirements'!B35</f>
        <v>78000</v>
      </c>
      <c r="C11" s="138">
        <f>MAX(0,B11*(1-(1/3)))</f>
        <v>52000.000000000007</v>
      </c>
      <c r="D11" s="138">
        <f>MAX(0,B11*(1-(2/3)))</f>
        <v>26000.000000000004</v>
      </c>
      <c r="E11" s="138">
        <f>MAX(0,B11*(1-(3/3)))</f>
        <v>0</v>
      </c>
      <c r="F11" s="138">
        <f>MAX(0,B11*(1-(4/3)))</f>
        <v>0</v>
      </c>
      <c r="G11" s="138">
        <f>MAX(0,B11*(1-(5/3)))</f>
        <v>0</v>
      </c>
      <c r="H11" s="118" t="s">
        <v>626</v>
      </c>
    </row>
    <row r="12" spans="1:16" ht="14.25" customHeight="1">
      <c r="A12" s="125" t="s">
        <v>627</v>
      </c>
      <c r="B12" s="139">
        <f t="shared" ref="B12:G12" si="1">SUM(B6:B11)</f>
        <v>511714</v>
      </c>
      <c r="C12" s="139">
        <f t="shared" si="1"/>
        <v>23293829.2016</v>
      </c>
      <c r="D12" s="139">
        <f t="shared" si="1"/>
        <v>53607461.258724995</v>
      </c>
      <c r="E12" s="139">
        <f t="shared" si="1"/>
        <v>82720203.257771879</v>
      </c>
      <c r="F12" s="139">
        <f t="shared" si="1"/>
        <v>120040567.30040449</v>
      </c>
      <c r="G12" s="139">
        <f t="shared" si="1"/>
        <v>157538453.04034111</v>
      </c>
      <c r="H12" s="136" t="s">
        <v>628</v>
      </c>
    </row>
    <row r="15" spans="1:16" ht="14.25" customHeight="1">
      <c r="A15" s="187" t="s">
        <v>629</v>
      </c>
      <c r="B15" s="187"/>
      <c r="C15" s="187"/>
      <c r="D15" s="187"/>
      <c r="E15" s="187"/>
      <c r="F15" s="187"/>
      <c r="G15" s="187"/>
      <c r="H15" s="187"/>
    </row>
    <row r="16" spans="1:16" ht="24" customHeight="1">
      <c r="A16" s="30" t="s">
        <v>630</v>
      </c>
      <c r="B16" s="138">
        <v>0</v>
      </c>
      <c r="C16" s="138">
        <f>'13. Founders — Aggregate'!C11*'13. Founders — Aggregate'!F11+'16. AGP — Math'!F27</f>
        <v>20687520</v>
      </c>
      <c r="D16" s="138">
        <f>C16*'3. 5-Year Forecast'!B6</f>
        <v>41375040</v>
      </c>
      <c r="E16" s="138">
        <f>D16*'3. 5-Year Forecast'!C6</f>
        <v>62062560</v>
      </c>
      <c r="F16" s="138">
        <f>E16*'3. 5-Year Forecast'!D6</f>
        <v>86887584</v>
      </c>
      <c r="G16" s="138">
        <f>F16*'3. 5-Year Forecast'!E6</f>
        <v>108609480</v>
      </c>
      <c r="H16" s="118" t="s">
        <v>631</v>
      </c>
    </row>
    <row r="17" spans="1:8" ht="14.25" customHeight="1">
      <c r="A17" s="30" t="s">
        <v>632</v>
      </c>
      <c r="B17" s="138">
        <v>0</v>
      </c>
      <c r="C17" s="138">
        <f>'3. 5-Year Forecast'!B27/12</f>
        <v>43820.833333333336</v>
      </c>
      <c r="D17" s="138">
        <f>'3. 5-Year Forecast'!C27/12</f>
        <v>64151.25</v>
      </c>
      <c r="E17" s="138">
        <f>'3. 5-Year Forecast'!D27/12</f>
        <v>91802.875</v>
      </c>
      <c r="F17" s="138">
        <f>'3. 5-Year Forecast'!E27/12</f>
        <v>131953.11250000002</v>
      </c>
      <c r="G17" s="138">
        <f>'3. 5-Year Forecast'!F27/12</f>
        <v>190453.10875000001</v>
      </c>
      <c r="H17" s="118" t="s">
        <v>633</v>
      </c>
    </row>
    <row r="18" spans="1:8" ht="14.25" customHeight="1">
      <c r="A18" s="30" t="s">
        <v>634</v>
      </c>
      <c r="B18" s="138">
        <f>'8. Equity Structure'!B12</f>
        <v>219306</v>
      </c>
      <c r="C18" s="138">
        <v>0</v>
      </c>
      <c r="D18" s="138">
        <v>0</v>
      </c>
      <c r="E18" s="138">
        <v>0</v>
      </c>
      <c r="F18" s="138">
        <v>0</v>
      </c>
      <c r="G18" s="138">
        <v>0</v>
      </c>
      <c r="H18" s="118" t="s">
        <v>635</v>
      </c>
    </row>
    <row r="19" spans="1:8" ht="14.25" customHeight="1">
      <c r="A19" s="125" t="s">
        <v>636</v>
      </c>
      <c r="B19" s="139">
        <f t="shared" ref="B19:G19" si="2">SUM(B16:B18)</f>
        <v>219306</v>
      </c>
      <c r="C19" s="139">
        <f t="shared" si="2"/>
        <v>20731340.833333332</v>
      </c>
      <c r="D19" s="139">
        <f t="shared" si="2"/>
        <v>41439191.25</v>
      </c>
      <c r="E19" s="139">
        <f t="shared" si="2"/>
        <v>62154362.875</v>
      </c>
      <c r="F19" s="139">
        <f t="shared" si="2"/>
        <v>87019537.112499997</v>
      </c>
      <c r="G19" s="139">
        <f t="shared" si="2"/>
        <v>108799933.10875</v>
      </c>
    </row>
    <row r="22" spans="1:8" ht="14.25" customHeight="1">
      <c r="A22" s="187" t="s">
        <v>637</v>
      </c>
      <c r="B22" s="187"/>
      <c r="C22" s="187"/>
      <c r="D22" s="187"/>
      <c r="E22" s="187"/>
      <c r="F22" s="187"/>
      <c r="G22" s="187"/>
      <c r="H22" s="187"/>
    </row>
    <row r="23" spans="1:8" ht="14.25" customHeight="1">
      <c r="A23" s="30" t="s">
        <v>638</v>
      </c>
      <c r="B23" s="138" t="str">
        <f>'7. Start-up Requirements'!B73</f>
        <v>Amount</v>
      </c>
      <c r="C23" s="138" t="str">
        <f>B23</f>
        <v>Amount</v>
      </c>
      <c r="D23" s="138" t="str">
        <f>B23</f>
        <v>Amount</v>
      </c>
      <c r="E23" s="138" t="str">
        <f>B23</f>
        <v>Amount</v>
      </c>
      <c r="F23" s="138" t="str">
        <f>B23</f>
        <v>Amount</v>
      </c>
      <c r="G23" s="138" t="str">
        <f>B23</f>
        <v>Amount</v>
      </c>
      <c r="H23" s="118" t="s">
        <v>639</v>
      </c>
    </row>
    <row r="24" spans="1:8" ht="14.25" customHeight="1">
      <c r="A24" s="30" t="s">
        <v>640</v>
      </c>
      <c r="B24" s="138">
        <f>'7. Start-up Requirements'!B75</f>
        <v>292408</v>
      </c>
      <c r="C24" s="138">
        <f>B24</f>
        <v>292408</v>
      </c>
      <c r="D24" s="138">
        <f>B24</f>
        <v>292408</v>
      </c>
      <c r="E24" s="138">
        <f>B24</f>
        <v>292408</v>
      </c>
      <c r="F24" s="138">
        <f>B24</f>
        <v>292408</v>
      </c>
      <c r="G24" s="138">
        <f>B24</f>
        <v>292408</v>
      </c>
      <c r="H24" s="118" t="s">
        <v>641</v>
      </c>
    </row>
    <row r="25" spans="1:8" ht="14.25" customHeight="1">
      <c r="A25" s="30" t="s">
        <v>642</v>
      </c>
      <c r="B25" s="138">
        <v>0</v>
      </c>
      <c r="C25" s="138">
        <f>'7. Start-up Requirements'!B74</f>
        <v>219306</v>
      </c>
      <c r="D25" s="138">
        <f>C25</f>
        <v>219306</v>
      </c>
      <c r="E25" s="138">
        <f>C25</f>
        <v>219306</v>
      </c>
      <c r="F25" s="138">
        <f>C25</f>
        <v>219306</v>
      </c>
      <c r="G25" s="138">
        <f>C25</f>
        <v>219306</v>
      </c>
      <c r="H25" s="118" t="s">
        <v>643</v>
      </c>
    </row>
    <row r="26" spans="1:8" ht="14.25" customHeight="1">
      <c r="A26" s="30" t="s">
        <v>644</v>
      </c>
      <c r="B26" s="138">
        <v>0</v>
      </c>
      <c r="C26" s="138">
        <f>'3. 5-Year Forecast'!B31</f>
        <v>2110595.2015999998</v>
      </c>
      <c r="D26" s="138">
        <f>'3. 5-Year Forecast'!C31</f>
        <v>7748707.2587250005</v>
      </c>
      <c r="E26" s="138">
        <f>'3. 5-Year Forecast'!D31</f>
        <v>16185929.257771874</v>
      </c>
      <c r="F26" s="138">
        <f>'3. 5-Year Forecast'!E31</f>
        <v>28667269.300404489</v>
      </c>
      <c r="G26" s="138">
        <f>'3. 5-Year Forecast'!F31</f>
        <v>44429259.040341094</v>
      </c>
      <c r="H26" s="118" t="s">
        <v>645</v>
      </c>
    </row>
    <row r="27" spans="1:8" ht="14.25" customHeight="1">
      <c r="A27" s="125" t="s">
        <v>646</v>
      </c>
      <c r="B27" s="139">
        <f t="shared" ref="B27:G27" si="3">SUM(B23:B26)</f>
        <v>292408</v>
      </c>
      <c r="C27" s="139">
        <f t="shared" si="3"/>
        <v>2622309.2015999998</v>
      </c>
      <c r="D27" s="139">
        <f t="shared" si="3"/>
        <v>8260421.2587250005</v>
      </c>
      <c r="E27" s="139">
        <f t="shared" si="3"/>
        <v>16697643.257771874</v>
      </c>
      <c r="F27" s="139">
        <f t="shared" si="3"/>
        <v>29178983.300404489</v>
      </c>
      <c r="G27" s="139">
        <f t="shared" si="3"/>
        <v>44940973.040341094</v>
      </c>
    </row>
    <row r="29" spans="1:8" ht="14.25" customHeight="1">
      <c r="A29" s="125" t="s">
        <v>647</v>
      </c>
      <c r="B29" s="139">
        <f t="shared" ref="B29:G29" si="4">B19+B27</f>
        <v>511714</v>
      </c>
      <c r="C29" s="139">
        <f t="shared" si="4"/>
        <v>23353650.034933332</v>
      </c>
      <c r="D29" s="139">
        <f t="shared" si="4"/>
        <v>49699612.508725002</v>
      </c>
      <c r="E29" s="139">
        <f t="shared" si="4"/>
        <v>78852006.132771879</v>
      </c>
      <c r="F29" s="139">
        <f t="shared" si="4"/>
        <v>116198520.41290449</v>
      </c>
      <c r="G29" s="139">
        <f t="shared" si="4"/>
        <v>153740906.14909109</v>
      </c>
      <c r="H29" s="136" t="s">
        <v>648</v>
      </c>
    </row>
    <row r="31" spans="1:8" ht="24" customHeight="1">
      <c r="A31" s="30" t="s">
        <v>649</v>
      </c>
      <c r="B31" s="138">
        <f t="shared" ref="B31:G31" si="5">B12-B29</f>
        <v>0</v>
      </c>
      <c r="C31" s="138">
        <f t="shared" si="5"/>
        <v>-59820.833333332092</v>
      </c>
      <c r="D31" s="138">
        <f t="shared" si="5"/>
        <v>3907848.7499999925</v>
      </c>
      <c r="E31" s="138">
        <f t="shared" si="5"/>
        <v>3868197.125</v>
      </c>
      <c r="F31" s="138">
        <f t="shared" si="5"/>
        <v>3842046.887500003</v>
      </c>
      <c r="G31" s="138">
        <f t="shared" si="5"/>
        <v>3797546.8912500143</v>
      </c>
      <c r="H31" s="118" t="s">
        <v>650</v>
      </c>
    </row>
    <row r="34" spans="1:8" ht="14.25" customHeight="1">
      <c r="A34" s="187" t="s">
        <v>651</v>
      </c>
      <c r="B34" s="187"/>
      <c r="C34" s="187"/>
      <c r="D34" s="187"/>
      <c r="E34" s="187"/>
      <c r="F34" s="187"/>
      <c r="G34" s="187"/>
      <c r="H34" s="187"/>
    </row>
    <row r="35" spans="1:8" ht="14.25" customHeight="1">
      <c r="A35" s="30" t="s">
        <v>652</v>
      </c>
      <c r="B35" s="140"/>
      <c r="C35" s="140" t="str">
        <f>IF('3. 5-Year Forecast'!B29&lt;0,B6/(-'3. 5-Year Forecast'!B29/12),"∞")</f>
        <v>∞</v>
      </c>
      <c r="D35" s="140" t="str">
        <f>IF('3. 5-Year Forecast'!C29&lt;0,C6/(-'3. 5-Year Forecast'!C29/12),"∞")</f>
        <v>∞</v>
      </c>
      <c r="E35" s="140" t="str">
        <f>IF('3. 5-Year Forecast'!D29&lt;0,D6/(-'3. 5-Year Forecast'!D29/12),"∞")</f>
        <v>∞</v>
      </c>
      <c r="F35" s="140" t="str">
        <f>IF('3. 5-Year Forecast'!E29&lt;0,E6/(-'3. 5-Year Forecast'!E29/12),"∞")</f>
        <v>∞</v>
      </c>
      <c r="G35" s="140" t="str">
        <f>IF('3. 5-Year Forecast'!F29&lt;0,F6/(-'3. 5-Year Forecast'!F29/12),"∞")</f>
        <v>∞</v>
      </c>
      <c r="H35" s="118" t="s">
        <v>653</v>
      </c>
    </row>
    <row r="36" spans="1:8" ht="14.25" customHeight="1">
      <c r="A36" s="30" t="s">
        <v>654</v>
      </c>
      <c r="B36" s="43">
        <f t="shared" ref="B36:G36" si="6">B27/B12</f>
        <v>0.5714285714285714</v>
      </c>
      <c r="C36" s="43">
        <f t="shared" si="6"/>
        <v>0.11257527385921931</v>
      </c>
      <c r="D36" s="43">
        <f t="shared" si="6"/>
        <v>0.15409088706622082</v>
      </c>
      <c r="E36" s="43">
        <f t="shared" si="6"/>
        <v>0.20185689348149741</v>
      </c>
      <c r="F36" s="43">
        <f t="shared" si="6"/>
        <v>0.24307601968743917</v>
      </c>
      <c r="G36" s="43">
        <f t="shared" si="6"/>
        <v>0.28526986378895691</v>
      </c>
      <c r="H36" s="118" t="s">
        <v>655</v>
      </c>
    </row>
    <row r="37" spans="1:8" ht="14.25" customHeight="1">
      <c r="A37" s="30" t="s">
        <v>656</v>
      </c>
      <c r="B37" s="140" t="s">
        <v>62</v>
      </c>
      <c r="C37" s="141">
        <f>'3. 5-Year Forecast'!B19/(C7+C8)</f>
        <v>0.14793270784134357</v>
      </c>
      <c r="D37" s="141">
        <f>'3. 5-Year Forecast'!C19/(D7+D8)</f>
        <v>0.17721826390936216</v>
      </c>
      <c r="E37" s="141">
        <f>'3. 5-Year Forecast'!D19/(E7+E8)</f>
        <v>0.17745530701290457</v>
      </c>
      <c r="F37" s="141">
        <f>'3. 5-Year Forecast'!E19/(F7+F8)</f>
        <v>0.18791770197315275</v>
      </c>
      <c r="G37" s="141">
        <f>'3. 5-Year Forecast'!F19/(G7+G8)</f>
        <v>0.19419583029082613</v>
      </c>
      <c r="H37" s="118" t="s">
        <v>657</v>
      </c>
    </row>
    <row r="40" spans="1:8" ht="14.25" customHeight="1">
      <c r="A40" s="187" t="s">
        <v>658</v>
      </c>
      <c r="B40" s="187"/>
      <c r="C40" s="187"/>
      <c r="D40" s="187"/>
      <c r="E40" s="187"/>
      <c r="F40" s="187"/>
      <c r="G40" s="187"/>
      <c r="H40" s="187"/>
    </row>
    <row r="42" spans="1:8" ht="14.25" customHeight="1">
      <c r="A42" s="39" t="s">
        <v>659</v>
      </c>
      <c r="B42" s="39" t="s">
        <v>660</v>
      </c>
      <c r="C42" s="39" t="s">
        <v>661</v>
      </c>
      <c r="D42" s="39" t="s">
        <v>662</v>
      </c>
    </row>
    <row r="43" spans="1:8" ht="14.25" customHeight="1">
      <c r="A43" s="30" t="s">
        <v>613</v>
      </c>
      <c r="B43" s="138">
        <f>B12</f>
        <v>511714</v>
      </c>
      <c r="C43" s="138">
        <f>B19</f>
        <v>219306</v>
      </c>
      <c r="D43" s="138">
        <f>B27</f>
        <v>292408</v>
      </c>
    </row>
    <row r="44" spans="1:8" ht="14.25" customHeight="1">
      <c r="A44" s="30" t="s">
        <v>105</v>
      </c>
      <c r="B44" s="138">
        <f>C12</f>
        <v>23293829.2016</v>
      </c>
      <c r="C44" s="138">
        <f>C19</f>
        <v>20731340.833333332</v>
      </c>
      <c r="D44" s="138">
        <f>C27</f>
        <v>2622309.2015999998</v>
      </c>
    </row>
    <row r="45" spans="1:8" ht="14.25" customHeight="1">
      <c r="A45" s="30" t="s">
        <v>106</v>
      </c>
      <c r="B45" s="138">
        <f>D12</f>
        <v>53607461.258724995</v>
      </c>
      <c r="C45" s="138">
        <f>D19</f>
        <v>41439191.25</v>
      </c>
      <c r="D45" s="138">
        <f>D27</f>
        <v>8260421.2587250005</v>
      </c>
    </row>
    <row r="46" spans="1:8" ht="14.25" customHeight="1">
      <c r="A46" s="30" t="s">
        <v>107</v>
      </c>
      <c r="B46" s="138">
        <f>E12</f>
        <v>82720203.257771879</v>
      </c>
      <c r="C46" s="138">
        <f>E19</f>
        <v>62154362.875</v>
      </c>
      <c r="D46" s="138">
        <f>E27</f>
        <v>16697643.257771874</v>
      </c>
    </row>
    <row r="47" spans="1:8" ht="14.25" customHeight="1">
      <c r="A47" s="30" t="s">
        <v>108</v>
      </c>
      <c r="B47" s="138">
        <f>F12</f>
        <v>120040567.30040449</v>
      </c>
      <c r="C47" s="138">
        <f>F19</f>
        <v>87019537.112499997</v>
      </c>
      <c r="D47" s="138">
        <f>F27</f>
        <v>29178983.300404489</v>
      </c>
    </row>
    <row r="48" spans="1:8" ht="14.25" customHeight="1">
      <c r="A48" s="30" t="s">
        <v>109</v>
      </c>
      <c r="B48" s="138">
        <f>G12</f>
        <v>157538453.04034111</v>
      </c>
      <c r="C48" s="138">
        <f>G19</f>
        <v>108799933.10875</v>
      </c>
      <c r="D48" s="138">
        <f>G27</f>
        <v>44940973.040341094</v>
      </c>
    </row>
  </sheetData>
  <mergeCells count="6">
    <mergeCell ref="A34:H34"/>
    <mergeCell ref="A40:H40"/>
    <mergeCell ref="A2:H2"/>
    <mergeCell ref="A5:H5"/>
    <mergeCell ref="A15:H15"/>
    <mergeCell ref="A22:H22"/>
  </mergeCells>
  <hyperlinks>
    <hyperlink ref="I1" location="'1. Master P&amp;L Summary'!A1" display="↑ P&amp;L" xr:uid="{00000000-0004-0000-0800-000000000000}"/>
    <hyperlink ref="P1" location="'1. Master P&amp;L Summary'!A1" display="↑ P&amp;L" xr:uid="{00000000-0004-0000-0800-000001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8"/>
  <sheetViews>
    <sheetView topLeftCell="A22" zoomScale="93" zoomScaleNormal="93" workbookViewId="0">
      <selection activeCell="A10" sqref="A10"/>
    </sheetView>
  </sheetViews>
  <sheetFormatPr defaultColWidth="8.69140625" defaultRowHeight="14.6"/>
  <cols>
    <col min="1" max="1" width="38" customWidth="1"/>
    <col min="2" max="7" width="14" customWidth="1"/>
    <col min="8" max="8" width="40" customWidth="1"/>
    <col min="9" max="10" width="14" customWidth="1"/>
    <col min="16" max="16" width="14" customWidth="1"/>
  </cols>
  <sheetData>
    <row r="1" spans="1:16" ht="27.75" customHeight="1" thickBot="1">
      <c r="A1" s="184" t="s">
        <v>663</v>
      </c>
      <c r="B1" s="184"/>
      <c r="C1" s="184"/>
      <c r="D1" s="184"/>
      <c r="E1" s="184"/>
      <c r="F1" s="184"/>
      <c r="G1" s="184"/>
      <c r="I1" s="4" t="s">
        <v>72</v>
      </c>
      <c r="P1" s="4" t="s">
        <v>72</v>
      </c>
    </row>
    <row r="2" spans="1:16" ht="14.25" customHeight="1">
      <c r="A2" s="190" t="s">
        <v>664</v>
      </c>
      <c r="B2" s="190"/>
      <c r="C2" s="190"/>
      <c r="D2" s="190"/>
      <c r="E2" s="190"/>
      <c r="F2" s="190"/>
      <c r="G2" s="190"/>
      <c r="H2" s="190"/>
    </row>
    <row r="4" spans="1:16" ht="14.25" customHeight="1">
      <c r="A4" s="39" t="s">
        <v>104</v>
      </c>
      <c r="B4" s="39" t="s">
        <v>613</v>
      </c>
      <c r="C4" s="39" t="s">
        <v>105</v>
      </c>
      <c r="D4" s="39" t="s">
        <v>106</v>
      </c>
      <c r="E4" s="39" t="s">
        <v>107</v>
      </c>
      <c r="F4" s="39" t="s">
        <v>108</v>
      </c>
      <c r="G4" s="39" t="s">
        <v>109</v>
      </c>
      <c r="H4" s="39" t="s">
        <v>174</v>
      </c>
    </row>
    <row r="5" spans="1:16" ht="14.25" customHeight="1">
      <c r="A5" s="187" t="s">
        <v>665</v>
      </c>
      <c r="B5" s="187"/>
      <c r="C5" s="187"/>
      <c r="D5" s="187"/>
      <c r="E5" s="187"/>
      <c r="F5" s="187"/>
      <c r="G5" s="187"/>
      <c r="H5" s="187"/>
    </row>
    <row r="6" spans="1:16" ht="14.25" customHeight="1">
      <c r="A6" s="40" t="s">
        <v>666</v>
      </c>
      <c r="B6" s="137">
        <v>0</v>
      </c>
      <c r="C6" s="137">
        <f>B31</f>
        <v>133714</v>
      </c>
      <c r="D6" s="137">
        <f>C31</f>
        <v>2188468.8325680001</v>
      </c>
      <c r="E6" s="137">
        <f>D31</f>
        <v>11690586.961145002</v>
      </c>
      <c r="F6" s="137">
        <f>E31</f>
        <v>20012351.811401874</v>
      </c>
      <c r="G6" s="137">
        <f>F31</f>
        <v>32351070.10584949</v>
      </c>
      <c r="H6" s="118" t="s">
        <v>667</v>
      </c>
    </row>
    <row r="8" spans="1:16" ht="14.25" customHeight="1">
      <c r="A8" s="187" t="s">
        <v>668</v>
      </c>
      <c r="B8" s="187"/>
      <c r="C8" s="187"/>
      <c r="D8" s="187"/>
      <c r="E8" s="187"/>
      <c r="F8" s="187"/>
      <c r="G8" s="187"/>
      <c r="H8" s="187"/>
    </row>
    <row r="9" spans="1:16" ht="14.25" customHeight="1">
      <c r="A9" s="30" t="s">
        <v>669</v>
      </c>
      <c r="B9" s="138">
        <v>0</v>
      </c>
      <c r="C9" s="137">
        <f>'3. 5-Year Forecast'!B29</f>
        <v>2110595.2015999998</v>
      </c>
      <c r="D9" s="137">
        <f>'3. 5-Year Forecast'!C29</f>
        <v>5638112.0571250003</v>
      </c>
      <c r="E9" s="137">
        <f>'3. 5-Year Forecast'!D29</f>
        <v>8437221.9990468733</v>
      </c>
      <c r="F9" s="137">
        <f>'3. 5-Year Forecast'!E29</f>
        <v>12481340.042632617</v>
      </c>
      <c r="G9" s="137">
        <f>'3. 5-Year Forecast'!F29</f>
        <v>15761989.739936605</v>
      </c>
      <c r="H9" s="118" t="s">
        <v>670</v>
      </c>
    </row>
    <row r="10" spans="1:16" ht="14.25" customHeight="1">
      <c r="A10" s="30" t="s">
        <v>671</v>
      </c>
      <c r="B10" s="138">
        <v>0</v>
      </c>
      <c r="C10" s="138">
        <f>ROUND(('7. Start-up Requirements'!B33+'7. Start-up Requirements'!B34+'7. Start-up Requirements'!B35)/3,0)</f>
        <v>26000</v>
      </c>
      <c r="D10" s="138">
        <f>ROUND(('7. Start-up Requirements'!B33+'7. Start-up Requirements'!B34+'7. Start-up Requirements'!B35)/3,0)</f>
        <v>26000</v>
      </c>
      <c r="E10" s="138">
        <f>ROUND(('7. Start-up Requirements'!B33+'7. Start-up Requirements'!B34+'7. Start-up Requirements'!B35)/3,0)</f>
        <v>26000</v>
      </c>
      <c r="F10" s="138">
        <f>ROUND(('7. Start-up Requirements'!B33+'7. Start-up Requirements'!B34+'7. Start-up Requirements'!B35)/3,0)</f>
        <v>26000</v>
      </c>
      <c r="G10" s="138">
        <f>ROUND(('7. Start-up Requirements'!B33+'7. Start-up Requirements'!B34+'7. Start-up Requirements'!B35)/3,0)</f>
        <v>26000</v>
      </c>
      <c r="H10" s="118" t="s">
        <v>672</v>
      </c>
    </row>
    <row r="11" spans="1:16" ht="24" customHeight="1">
      <c r="A11" s="30" t="s">
        <v>673</v>
      </c>
      <c r="B11" s="138">
        <v>0</v>
      </c>
      <c r="C11" s="138">
        <f>-((('9. Balance Sheet'!C7)-('9. Balance Sheet'!B7)))</f>
        <v>-4000</v>
      </c>
      <c r="D11" s="138">
        <f>-((('9. Balance Sheet'!D7)-('9. Balance Sheet'!C7)))</f>
        <v>-64200</v>
      </c>
      <c r="E11" s="138">
        <f>-((('9. Balance Sheet'!E7)-('9. Balance Sheet'!D7)))</f>
        <v>-55640</v>
      </c>
      <c r="F11" s="138">
        <f>-((('9. Balance Sheet'!F7)-('9. Balance Sheet'!E7)))</f>
        <v>-50075.999999999942</v>
      </c>
      <c r="G11" s="138">
        <f>-((('9. Balance Sheet'!G7)-('9. Balance Sheet'!F7)))</f>
        <v>-38391.600000000035</v>
      </c>
      <c r="H11" s="118" t="s">
        <v>674</v>
      </c>
    </row>
    <row r="12" spans="1:16" ht="24" customHeight="1">
      <c r="A12" s="30" t="s">
        <v>675</v>
      </c>
      <c r="B12" s="138">
        <v>0</v>
      </c>
      <c r="C12" s="138">
        <v>0</v>
      </c>
      <c r="D12" s="138">
        <v>0</v>
      </c>
      <c r="E12" s="138">
        <v>0</v>
      </c>
      <c r="F12" s="138">
        <v>0</v>
      </c>
      <c r="G12" s="138">
        <v>0</v>
      </c>
      <c r="H12" s="118" t="s">
        <v>676</v>
      </c>
    </row>
    <row r="13" spans="1:16" ht="14.25" customHeight="1">
      <c r="A13" s="30" t="s">
        <v>677</v>
      </c>
      <c r="B13" s="138">
        <v>0</v>
      </c>
      <c r="C13" s="138">
        <f>-('3. 5-Year Forecast'!B19*0.02)</f>
        <v>-61840.369031999995</v>
      </c>
      <c r="D13" s="138">
        <f>-(('3. 5-Year Forecast'!C19-'3. 5-Year Forecast'!B19)*0.02)</f>
        <v>-85793.928548000011</v>
      </c>
      <c r="E13" s="138">
        <f>-(('3. 5-Year Forecast'!D19-'3. 5-Year Forecast'!C19)*0.02)</f>
        <v>-73817.148789999992</v>
      </c>
      <c r="F13" s="138">
        <f>-(('3. 5-Year Forecast'!E19-'3. 5-Year Forecast'!D19)*0.02)</f>
        <v>-106545.74818500002</v>
      </c>
      <c r="G13" s="138">
        <f>-(('3. 5-Year Forecast'!F19-'3. 5-Year Forecast'!E19)*0.02)</f>
        <v>-95473.175866499994</v>
      </c>
      <c r="H13" s="118" t="s">
        <v>678</v>
      </c>
    </row>
    <row r="14" spans="1:16" ht="14.25" customHeight="1">
      <c r="A14" s="119" t="s">
        <v>679</v>
      </c>
      <c r="B14" s="142">
        <f t="shared" ref="B14:G14" si="0">SUM(B9:B13)</f>
        <v>0</v>
      </c>
      <c r="C14" s="142">
        <f t="shared" si="0"/>
        <v>2070754.8325679998</v>
      </c>
      <c r="D14" s="142">
        <f t="shared" si="0"/>
        <v>5514118.1285770005</v>
      </c>
      <c r="E14" s="142">
        <f t="shared" si="0"/>
        <v>8333764.8502568733</v>
      </c>
      <c r="F14" s="142">
        <f t="shared" si="0"/>
        <v>12350718.294447618</v>
      </c>
      <c r="G14" s="142">
        <f t="shared" si="0"/>
        <v>15654124.964070106</v>
      </c>
    </row>
    <row r="16" spans="1:16" ht="14.25" customHeight="1">
      <c r="A16" s="187" t="s">
        <v>680</v>
      </c>
      <c r="B16" s="187"/>
      <c r="C16" s="187"/>
      <c r="D16" s="187"/>
      <c r="E16" s="187"/>
      <c r="F16" s="187"/>
      <c r="G16" s="187"/>
      <c r="H16" s="187"/>
    </row>
    <row r="17" spans="1:8" ht="14.25" customHeight="1">
      <c r="A17" s="30" t="s">
        <v>681</v>
      </c>
      <c r="B17" s="138">
        <f>-('7. Start-up Requirements'!B33+'7. Start-up Requirements'!B34+'7. Start-up Requirements'!B35)</f>
        <v>-78000</v>
      </c>
      <c r="C17" s="138">
        <f>-'7. Start-up Requirements'!C33*12*0.5</f>
        <v>-12000</v>
      </c>
      <c r="D17" s="138">
        <f>-'7. Start-up Requirements'!C33*12*0.5</f>
        <v>-12000</v>
      </c>
      <c r="E17" s="138">
        <f>-'7. Start-up Requirements'!C33*12*0.5</f>
        <v>-12000</v>
      </c>
      <c r="F17" s="138">
        <f>-'7. Start-up Requirements'!C33*12*0.5</f>
        <v>-12000</v>
      </c>
      <c r="G17" s="138">
        <f>-'7. Start-up Requirements'!C33*12*0.5</f>
        <v>-12000</v>
      </c>
      <c r="H17" s="118" t="s">
        <v>682</v>
      </c>
    </row>
    <row r="18" spans="1:8" ht="14.25" customHeight="1">
      <c r="A18" s="30" t="s">
        <v>683</v>
      </c>
      <c r="B18" s="138">
        <f>-('7. Start-up Requirements'!B22+'7. Start-up Requirements'!B26+'7. Start-up Requirements'!B33)</f>
        <v>-90000</v>
      </c>
      <c r="C18" s="138">
        <v>0</v>
      </c>
      <c r="D18" s="138">
        <v>0</v>
      </c>
      <c r="E18" s="138">
        <v>0</v>
      </c>
      <c r="F18" s="138">
        <v>0</v>
      </c>
      <c r="G18" s="138">
        <v>0</v>
      </c>
      <c r="H18" s="118" t="s">
        <v>684</v>
      </c>
    </row>
    <row r="19" spans="1:8" ht="14.25" customHeight="1">
      <c r="A19" s="30" t="s">
        <v>685</v>
      </c>
      <c r="B19" s="138">
        <f>-('7. Start-up Requirements'!B23+'7. Start-up Requirements'!B24)</f>
        <v>-210000</v>
      </c>
      <c r="C19" s="138">
        <f>-'7. Start-up Requirements'!B57</f>
        <v>-4000</v>
      </c>
      <c r="D19" s="138">
        <v>0</v>
      </c>
      <c r="E19" s="138">
        <v>0</v>
      </c>
      <c r="F19" s="138">
        <v>0</v>
      </c>
      <c r="G19" s="138">
        <v>0</v>
      </c>
      <c r="H19" s="118" t="s">
        <v>686</v>
      </c>
    </row>
    <row r="20" spans="1:8" ht="14.25" customHeight="1">
      <c r="A20" s="119" t="s">
        <v>687</v>
      </c>
      <c r="B20" s="142">
        <f t="shared" ref="B20:G20" si="1">SUM(B17:B19)</f>
        <v>-378000</v>
      </c>
      <c r="C20" s="142">
        <f t="shared" si="1"/>
        <v>-16000</v>
      </c>
      <c r="D20" s="142">
        <f t="shared" si="1"/>
        <v>-12000</v>
      </c>
      <c r="E20" s="142">
        <f t="shared" si="1"/>
        <v>-12000</v>
      </c>
      <c r="F20" s="142">
        <f t="shared" si="1"/>
        <v>-12000</v>
      </c>
      <c r="G20" s="142">
        <f t="shared" si="1"/>
        <v>-12000</v>
      </c>
    </row>
    <row r="22" spans="1:8" ht="14.25" customHeight="1">
      <c r="A22" s="187" t="s">
        <v>688</v>
      </c>
      <c r="B22" s="187"/>
      <c r="C22" s="187"/>
      <c r="D22" s="187"/>
      <c r="E22" s="187"/>
      <c r="F22" s="187"/>
      <c r="G22" s="187"/>
      <c r="H22" s="187"/>
    </row>
    <row r="23" spans="1:8" ht="14.25" customHeight="1">
      <c r="A23" s="30" t="s">
        <v>689</v>
      </c>
      <c r="B23" s="138" t="str">
        <f>'7. Start-up Requirements'!B73</f>
        <v>Amount</v>
      </c>
      <c r="C23" s="138">
        <v>0</v>
      </c>
      <c r="D23" s="138">
        <v>0</v>
      </c>
      <c r="E23" s="138">
        <v>0</v>
      </c>
      <c r="F23" s="138">
        <v>0</v>
      </c>
      <c r="G23" s="138">
        <v>0</v>
      </c>
      <c r="H23" s="118" t="s">
        <v>690</v>
      </c>
    </row>
    <row r="24" spans="1:8" ht="14.25" customHeight="1">
      <c r="A24" s="30" t="s">
        <v>691</v>
      </c>
      <c r="B24" s="138">
        <f>'7. Start-up Requirements'!B74</f>
        <v>219306</v>
      </c>
      <c r="C24" s="138">
        <v>0</v>
      </c>
      <c r="D24" s="138">
        <v>0</v>
      </c>
      <c r="E24" s="138">
        <v>0</v>
      </c>
      <c r="F24" s="138">
        <v>0</v>
      </c>
      <c r="G24" s="138">
        <v>0</v>
      </c>
      <c r="H24" s="118" t="s">
        <v>692</v>
      </c>
    </row>
    <row r="25" spans="1:8" ht="14.25" customHeight="1">
      <c r="A25" s="30" t="s">
        <v>693</v>
      </c>
      <c r="B25" s="138">
        <f>'7. Start-up Requirements'!B75</f>
        <v>292408</v>
      </c>
      <c r="C25" s="138">
        <v>0</v>
      </c>
      <c r="D25" s="138">
        <v>0</v>
      </c>
      <c r="E25" s="138">
        <v>0</v>
      </c>
      <c r="F25" s="138">
        <v>0</v>
      </c>
      <c r="G25" s="138">
        <v>0</v>
      </c>
      <c r="H25" s="118" t="s">
        <v>694</v>
      </c>
    </row>
    <row r="26" spans="1:8" ht="14.25" customHeight="1">
      <c r="A26" s="30" t="s">
        <v>695</v>
      </c>
      <c r="B26" s="138">
        <v>0</v>
      </c>
      <c r="C26" s="138">
        <v>0</v>
      </c>
      <c r="D26" s="138">
        <f>'8. Equity Structure'!B40</f>
        <v>4000000</v>
      </c>
      <c r="E26" s="138">
        <v>0</v>
      </c>
      <c r="F26" s="138">
        <v>0</v>
      </c>
      <c r="G26" s="138">
        <v>0</v>
      </c>
      <c r="H26" s="118" t="s">
        <v>696</v>
      </c>
    </row>
    <row r="27" spans="1:8" ht="14.25" customHeight="1">
      <c r="A27" s="119" t="s">
        <v>697</v>
      </c>
      <c r="B27" s="142">
        <f t="shared" ref="B27:G27" si="2">SUM(B23:B26)</f>
        <v>511714</v>
      </c>
      <c r="C27" s="142">
        <f t="shared" si="2"/>
        <v>0</v>
      </c>
      <c r="D27" s="142">
        <f t="shared" si="2"/>
        <v>4000000</v>
      </c>
      <c r="E27" s="142">
        <f t="shared" si="2"/>
        <v>0</v>
      </c>
      <c r="F27" s="142">
        <f t="shared" si="2"/>
        <v>0</v>
      </c>
      <c r="G27" s="142">
        <f t="shared" si="2"/>
        <v>0</v>
      </c>
    </row>
    <row r="29" spans="1:8" ht="14.25" customHeight="1">
      <c r="A29" s="187" t="s">
        <v>698</v>
      </c>
      <c r="B29" s="187"/>
      <c r="C29" s="187"/>
      <c r="D29" s="187"/>
      <c r="E29" s="187"/>
      <c r="F29" s="187"/>
      <c r="G29" s="187"/>
      <c r="H29" s="187"/>
    </row>
    <row r="30" spans="1:8" ht="14.25" customHeight="1">
      <c r="A30" s="40" t="s">
        <v>699</v>
      </c>
      <c r="B30" s="142">
        <f t="shared" ref="B30:G30" si="3">B14+B20+B27</f>
        <v>133714</v>
      </c>
      <c r="C30" s="142">
        <f t="shared" si="3"/>
        <v>2054754.8325679998</v>
      </c>
      <c r="D30" s="142">
        <f t="shared" si="3"/>
        <v>9502118.1285770014</v>
      </c>
      <c r="E30" s="142">
        <f t="shared" si="3"/>
        <v>8321764.8502568733</v>
      </c>
      <c r="F30" s="142">
        <f t="shared" si="3"/>
        <v>12338718.294447618</v>
      </c>
      <c r="G30" s="142">
        <f t="shared" si="3"/>
        <v>15642124.964070106</v>
      </c>
    </row>
    <row r="31" spans="1:8" ht="14.25" customHeight="1">
      <c r="A31" s="125" t="s">
        <v>700</v>
      </c>
      <c r="B31" s="139">
        <f t="shared" ref="B31:G31" si="4">B6+B30</f>
        <v>133714</v>
      </c>
      <c r="C31" s="139">
        <f t="shared" si="4"/>
        <v>2188468.8325680001</v>
      </c>
      <c r="D31" s="139">
        <f t="shared" si="4"/>
        <v>11690586.961145002</v>
      </c>
      <c r="E31" s="139">
        <f t="shared" si="4"/>
        <v>20012351.811401874</v>
      </c>
      <c r="F31" s="139">
        <f t="shared" si="4"/>
        <v>32351070.10584949</v>
      </c>
      <c r="G31" s="139">
        <f t="shared" si="4"/>
        <v>47993195.069919594</v>
      </c>
    </row>
    <row r="34" spans="1:8" ht="14.25" customHeight="1">
      <c r="A34" s="187" t="s">
        <v>701</v>
      </c>
      <c r="B34" s="187"/>
      <c r="C34" s="187"/>
      <c r="D34" s="187"/>
      <c r="E34" s="187"/>
      <c r="F34" s="187"/>
      <c r="G34" s="187"/>
      <c r="H34" s="187"/>
    </row>
    <row r="35" spans="1:8" ht="14.25" customHeight="1">
      <c r="A35" s="30" t="s">
        <v>702</v>
      </c>
      <c r="B35" s="137">
        <f t="shared" ref="B35:G35" si="5">B14+B20</f>
        <v>-378000</v>
      </c>
      <c r="C35" s="137">
        <f t="shared" si="5"/>
        <v>2054754.8325679998</v>
      </c>
      <c r="D35" s="137">
        <f t="shared" si="5"/>
        <v>5502118.1285770005</v>
      </c>
      <c r="E35" s="137">
        <f t="shared" si="5"/>
        <v>8321764.8502568733</v>
      </c>
      <c r="F35" s="137">
        <f t="shared" si="5"/>
        <v>12338718.294447618</v>
      </c>
      <c r="G35" s="137">
        <f t="shared" si="5"/>
        <v>15642124.964070106</v>
      </c>
      <c r="H35" s="118" t="s">
        <v>703</v>
      </c>
    </row>
    <row r="36" spans="1:8" ht="14.25" customHeight="1">
      <c r="A36" s="30" t="s">
        <v>704</v>
      </c>
      <c r="B36" s="43" t="s">
        <v>62</v>
      </c>
      <c r="C36" s="43">
        <f>IFERROR(C35/'3. 5-Year Forecast'!B19,0)</f>
        <v>0.66453511346439209</v>
      </c>
      <c r="D36" s="43">
        <f>IFERROR(D35/'3. 5-Year Forecast'!C19,0)</f>
        <v>0.74537126111844243</v>
      </c>
      <c r="E36" s="43">
        <f>IFERROR(E35/'3. 5-Year Forecast'!D19,0)</f>
        <v>0.75156563541724719</v>
      </c>
      <c r="F36" s="43">
        <f>IFERROR(F35/'3. 5-Year Forecast'!E19,0)</f>
        <v>0.75236730675015628</v>
      </c>
      <c r="G36" s="43">
        <f>IFERROR(G35/'3. 5-Year Forecast'!F19,0)</f>
        <v>0.7387588864127973</v>
      </c>
      <c r="H36" s="118" t="s">
        <v>705</v>
      </c>
    </row>
    <row r="37" spans="1:8" ht="14.25" customHeight="1">
      <c r="A37" s="30" t="s">
        <v>706</v>
      </c>
      <c r="B37" s="137">
        <f t="shared" ref="B37:G37" si="6">B31</f>
        <v>133714</v>
      </c>
      <c r="C37" s="137">
        <f t="shared" si="6"/>
        <v>2188468.8325680001</v>
      </c>
      <c r="D37" s="137">
        <f t="shared" si="6"/>
        <v>11690586.961145002</v>
      </c>
      <c r="E37" s="137">
        <f t="shared" si="6"/>
        <v>20012351.811401874</v>
      </c>
      <c r="F37" s="137">
        <f t="shared" si="6"/>
        <v>32351070.10584949</v>
      </c>
      <c r="G37" s="137">
        <f t="shared" si="6"/>
        <v>47993195.069919594</v>
      </c>
      <c r="H37" s="118" t="s">
        <v>707</v>
      </c>
    </row>
    <row r="40" spans="1:8" ht="14.25" customHeight="1">
      <c r="A40" s="187" t="s">
        <v>708</v>
      </c>
      <c r="B40" s="187"/>
      <c r="C40" s="187"/>
      <c r="D40" s="187"/>
      <c r="E40" s="187"/>
      <c r="F40" s="187"/>
      <c r="G40" s="187"/>
      <c r="H40" s="187"/>
    </row>
    <row r="42" spans="1:8" ht="14.25" customHeight="1">
      <c r="A42" s="39" t="s">
        <v>659</v>
      </c>
      <c r="B42" s="39" t="s">
        <v>709</v>
      </c>
      <c r="C42" s="39" t="s">
        <v>710</v>
      </c>
    </row>
    <row r="43" spans="1:8" ht="14.25" customHeight="1">
      <c r="A43" s="30" t="s">
        <v>613</v>
      </c>
      <c r="B43" s="138">
        <f>B31</f>
        <v>133714</v>
      </c>
      <c r="C43" s="138">
        <f>B35</f>
        <v>-378000</v>
      </c>
    </row>
    <row r="44" spans="1:8" ht="14.25" customHeight="1">
      <c r="A44" s="30" t="s">
        <v>105</v>
      </c>
      <c r="B44" s="138">
        <f>C31</f>
        <v>2188468.8325680001</v>
      </c>
      <c r="C44" s="138">
        <f>C35</f>
        <v>2054754.8325679998</v>
      </c>
    </row>
    <row r="45" spans="1:8" ht="14.25" customHeight="1">
      <c r="A45" s="30" t="s">
        <v>106</v>
      </c>
      <c r="B45" s="138">
        <f>D31</f>
        <v>11690586.961145002</v>
      </c>
      <c r="C45" s="138">
        <f>D35</f>
        <v>5502118.1285770005</v>
      </c>
    </row>
    <row r="46" spans="1:8" ht="14.25" customHeight="1">
      <c r="A46" s="30" t="s">
        <v>107</v>
      </c>
      <c r="B46" s="138">
        <f>E31</f>
        <v>20012351.811401874</v>
      </c>
      <c r="C46" s="138">
        <f>E35</f>
        <v>8321764.8502568733</v>
      </c>
    </row>
    <row r="47" spans="1:8" ht="14.25" customHeight="1">
      <c r="A47" s="30" t="s">
        <v>108</v>
      </c>
      <c r="B47" s="138">
        <f>F31</f>
        <v>32351070.10584949</v>
      </c>
      <c r="C47" s="138">
        <f>F35</f>
        <v>12338718.294447618</v>
      </c>
    </row>
    <row r="48" spans="1:8" ht="14.25" customHeight="1">
      <c r="A48" s="30" t="s">
        <v>109</v>
      </c>
      <c r="B48" s="138">
        <f>G31</f>
        <v>47993195.069919594</v>
      </c>
      <c r="C48" s="138">
        <f>G35</f>
        <v>15642124.964070106</v>
      </c>
    </row>
  </sheetData>
  <mergeCells count="8">
    <mergeCell ref="A22:H22"/>
    <mergeCell ref="A29:H29"/>
    <mergeCell ref="A34:H34"/>
    <mergeCell ref="A40:H40"/>
    <mergeCell ref="A2:H2"/>
    <mergeCell ref="A5:H5"/>
    <mergeCell ref="A8:H8"/>
    <mergeCell ref="A16:H16"/>
  </mergeCells>
  <hyperlinks>
    <hyperlink ref="I1" location="'1. Master P&amp;L Summary'!A1" display="↑ P&amp;L" xr:uid="{00000000-0004-0000-0900-000000000000}"/>
    <hyperlink ref="P1" location="'1. Master P&amp;L Summary'!A1" display="↑ P&amp;L" xr:uid="{00000000-0004-0000-0900-000001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7"/>
  <sheetViews>
    <sheetView showGridLines="0" zoomScale="93" zoomScaleNormal="93" workbookViewId="0">
      <selection activeCell="F18" sqref="F18"/>
    </sheetView>
  </sheetViews>
  <sheetFormatPr defaultColWidth="8.69140625" defaultRowHeight="14.6"/>
  <cols>
    <col min="1" max="1" width="38" customWidth="1"/>
    <col min="2" max="2" width="18" customWidth="1"/>
    <col min="3" max="4" width="22" customWidth="1"/>
    <col min="5" max="5" width="18" customWidth="1"/>
    <col min="6" max="6" width="50" customWidth="1"/>
    <col min="8" max="9" width="12" customWidth="1"/>
    <col min="16" max="16" width="14" customWidth="1"/>
  </cols>
  <sheetData>
    <row r="1" spans="1:16" ht="27.75" customHeight="1" thickBot="1">
      <c r="A1" s="184" t="s">
        <v>711</v>
      </c>
      <c r="B1" s="184"/>
      <c r="C1" s="184"/>
      <c r="D1" s="184"/>
      <c r="E1" s="184"/>
      <c r="F1" s="184"/>
      <c r="G1" s="184"/>
      <c r="H1" s="3"/>
      <c r="I1" s="4" t="s">
        <v>72</v>
      </c>
      <c r="P1" s="4" t="s">
        <v>72</v>
      </c>
    </row>
    <row r="2" spans="1:16" ht="14.25" customHeight="1">
      <c r="A2" s="195" t="s">
        <v>712</v>
      </c>
      <c r="B2" s="195"/>
      <c r="C2" s="195"/>
      <c r="D2" s="195"/>
      <c r="E2" s="195"/>
      <c r="F2" s="195"/>
    </row>
    <row r="4" spans="1:16" ht="14.25" customHeight="1">
      <c r="A4" s="192" t="s">
        <v>713</v>
      </c>
      <c r="B4" s="192"/>
      <c r="C4" s="192"/>
      <c r="D4" s="192"/>
      <c r="E4" s="192"/>
      <c r="F4" s="192"/>
    </row>
    <row r="5" spans="1:16" ht="14.25" customHeight="1">
      <c r="A5" s="1" t="s">
        <v>714</v>
      </c>
      <c r="B5" s="67">
        <v>2000</v>
      </c>
      <c r="C5" s="215" t="s">
        <v>715</v>
      </c>
      <c r="D5" s="215"/>
      <c r="E5" s="215"/>
      <c r="F5" s="215"/>
    </row>
    <row r="6" spans="1:16" ht="14.25" customHeight="1">
      <c r="A6" s="1" t="s">
        <v>716</v>
      </c>
      <c r="B6" s="66">
        <v>2000</v>
      </c>
      <c r="C6" s="215" t="s">
        <v>717</v>
      </c>
      <c r="D6" s="215"/>
      <c r="E6" s="215"/>
      <c r="F6" s="215"/>
    </row>
    <row r="7" spans="1:16" ht="14.25" customHeight="1">
      <c r="A7" s="1" t="s">
        <v>718</v>
      </c>
      <c r="B7" s="66">
        <v>12000</v>
      </c>
      <c r="C7" s="215" t="s">
        <v>719</v>
      </c>
      <c r="D7" s="215"/>
      <c r="E7" s="215"/>
      <c r="F7" s="215"/>
    </row>
    <row r="8" spans="1:16" ht="14.25" customHeight="1">
      <c r="A8" s="1" t="s">
        <v>720</v>
      </c>
      <c r="B8" s="63">
        <v>0.3</v>
      </c>
      <c r="C8" s="215" t="s">
        <v>721</v>
      </c>
      <c r="D8" s="215"/>
      <c r="E8" s="215"/>
      <c r="F8" s="215"/>
    </row>
    <row r="10" spans="1:16" ht="15.75" customHeight="1">
      <c r="A10" s="14" t="s">
        <v>722</v>
      </c>
      <c r="B10" s="27">
        <f>B5</f>
        <v>2000</v>
      </c>
    </row>
    <row r="12" spans="1:16" ht="14.25" customHeight="1">
      <c r="A12" s="192" t="s">
        <v>723</v>
      </c>
      <c r="B12" s="192"/>
      <c r="C12" s="192"/>
      <c r="D12" s="192"/>
      <c r="E12" s="192"/>
      <c r="F12" s="192"/>
    </row>
    <row r="13" spans="1:16" ht="14.25" customHeight="1">
      <c r="A13" s="5" t="s">
        <v>724</v>
      </c>
      <c r="B13" s="5" t="s">
        <v>725</v>
      </c>
      <c r="C13" s="5" t="s">
        <v>726</v>
      </c>
      <c r="D13" s="5" t="s">
        <v>727</v>
      </c>
      <c r="E13" s="5" t="s">
        <v>728</v>
      </c>
      <c r="F13" s="5" t="s">
        <v>174</v>
      </c>
    </row>
    <row r="14" spans="1:16" ht="14.25" customHeight="1">
      <c r="A14" s="143" t="s">
        <v>148</v>
      </c>
      <c r="B14" s="144" t="s">
        <v>729</v>
      </c>
      <c r="C14" s="66">
        <v>5000</v>
      </c>
      <c r="D14" s="63">
        <v>0.01</v>
      </c>
      <c r="E14" s="145">
        <v>0.25</v>
      </c>
      <c r="F14" s="2" t="s">
        <v>730</v>
      </c>
    </row>
    <row r="15" spans="1:16" ht="14.25" customHeight="1">
      <c r="A15" s="143" t="s">
        <v>151</v>
      </c>
      <c r="B15" s="144" t="s">
        <v>731</v>
      </c>
      <c r="C15" s="66">
        <v>15000</v>
      </c>
      <c r="D15" s="63">
        <v>1.4999999999999999E-2</v>
      </c>
      <c r="E15" s="145">
        <v>0.08</v>
      </c>
      <c r="F15" s="2" t="s">
        <v>732</v>
      </c>
    </row>
    <row r="16" spans="1:16" ht="14.25" customHeight="1">
      <c r="A16" s="146" t="s">
        <v>154</v>
      </c>
      <c r="B16" s="147" t="s">
        <v>733</v>
      </c>
      <c r="C16" s="148">
        <v>35000</v>
      </c>
      <c r="D16" s="149">
        <v>0.02</v>
      </c>
      <c r="E16" s="150">
        <v>0.02</v>
      </c>
      <c r="F16" s="151" t="s">
        <v>734</v>
      </c>
    </row>
    <row r="17" spans="1:6" ht="14.25" customHeight="1">
      <c r="A17" s="143" t="s">
        <v>156</v>
      </c>
      <c r="B17" s="144" t="s">
        <v>735</v>
      </c>
      <c r="C17" s="66">
        <v>65000</v>
      </c>
      <c r="D17" s="63">
        <v>2.5000000000000001E-2</v>
      </c>
      <c r="E17" s="145">
        <v>5.0000000000000001E-3</v>
      </c>
      <c r="F17" s="2" t="s">
        <v>736</v>
      </c>
    </row>
    <row r="18" spans="1:6" ht="14.25" customHeight="1">
      <c r="A18" s="143" t="s">
        <v>158</v>
      </c>
      <c r="B18" s="144" t="s">
        <v>737</v>
      </c>
      <c r="C18" s="66">
        <v>100000</v>
      </c>
      <c r="D18" s="63">
        <v>0.03</v>
      </c>
      <c r="E18" s="145">
        <v>1E-3</v>
      </c>
      <c r="F18" s="2" t="s">
        <v>738</v>
      </c>
    </row>
    <row r="21" spans="1:6" ht="14.25" customHeight="1">
      <c r="A21" s="192" t="s">
        <v>739</v>
      </c>
      <c r="B21" s="192"/>
      <c r="C21" s="192"/>
      <c r="D21" s="192"/>
      <c r="E21" s="192"/>
      <c r="F21" s="192"/>
    </row>
    <row r="22" spans="1:6" ht="28.5" customHeight="1">
      <c r="A22" s="5" t="s">
        <v>724</v>
      </c>
      <c r="B22" s="5" t="s">
        <v>740</v>
      </c>
      <c r="C22" s="5" t="s">
        <v>741</v>
      </c>
    </row>
    <row r="23" spans="1:6" ht="14.25" customHeight="1">
      <c r="A23" s="143" t="s">
        <v>148</v>
      </c>
      <c r="B23" s="66">
        <v>2500</v>
      </c>
      <c r="C23" s="215" t="s">
        <v>742</v>
      </c>
      <c r="D23" s="215"/>
      <c r="E23" s="215"/>
      <c r="F23" s="215"/>
    </row>
    <row r="24" spans="1:6" ht="14.25" customHeight="1">
      <c r="A24" s="143" t="s">
        <v>151</v>
      </c>
      <c r="B24" s="66">
        <v>3500</v>
      </c>
      <c r="C24" s="215" t="s">
        <v>743</v>
      </c>
      <c r="D24" s="215"/>
      <c r="E24" s="215"/>
      <c r="F24" s="215"/>
    </row>
    <row r="25" spans="1:6" ht="14.25" customHeight="1">
      <c r="A25" s="143" t="s">
        <v>154</v>
      </c>
      <c r="B25" s="66">
        <v>7500</v>
      </c>
      <c r="C25" s="215" t="s">
        <v>744</v>
      </c>
      <c r="D25" s="215"/>
      <c r="E25" s="215"/>
      <c r="F25" s="215"/>
    </row>
    <row r="26" spans="1:6" ht="14.25" customHeight="1">
      <c r="A26" s="143" t="s">
        <v>156</v>
      </c>
      <c r="B26" s="66">
        <v>15000</v>
      </c>
      <c r="C26" s="215" t="s">
        <v>745</v>
      </c>
      <c r="D26" s="215"/>
      <c r="E26" s="215"/>
      <c r="F26" s="215"/>
    </row>
    <row r="27" spans="1:6" ht="14.25" customHeight="1">
      <c r="A27" s="143" t="s">
        <v>158</v>
      </c>
      <c r="B27" s="66">
        <v>25000</v>
      </c>
      <c r="C27" s="215" t="s">
        <v>746</v>
      </c>
      <c r="D27" s="215"/>
      <c r="E27" s="215"/>
      <c r="F27" s="215"/>
    </row>
  </sheetData>
  <mergeCells count="13">
    <mergeCell ref="A2:F2"/>
    <mergeCell ref="A4:F4"/>
    <mergeCell ref="C5:F5"/>
    <mergeCell ref="C6:F6"/>
    <mergeCell ref="C24:F24"/>
    <mergeCell ref="C25:F25"/>
    <mergeCell ref="C26:F26"/>
    <mergeCell ref="C27:F27"/>
    <mergeCell ref="C7:F7"/>
    <mergeCell ref="C8:F8"/>
    <mergeCell ref="A12:F12"/>
    <mergeCell ref="A21:F21"/>
    <mergeCell ref="C23:F23"/>
  </mergeCells>
  <hyperlinks>
    <hyperlink ref="I1" location="'1. Master P&amp;L Summary'!A1" display="↑ P&amp;L" xr:uid="{00000000-0004-0000-0A00-000000000000}"/>
    <hyperlink ref="P1" location="'1. Master P&amp;L Summary'!A1" display="↑ P&amp;L" xr:uid="{00000000-0004-0000-0A00-00000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9"/>
  <sheetViews>
    <sheetView showGridLines="0" zoomScale="93" zoomScaleNormal="93" workbookViewId="0">
      <selection activeCell="A5" sqref="A5"/>
    </sheetView>
  </sheetViews>
  <sheetFormatPr defaultColWidth="8.69140625" defaultRowHeight="14.6"/>
  <cols>
    <col min="1" max="1" width="8" customWidth="1"/>
    <col min="2" max="2" width="16" customWidth="1"/>
    <col min="3" max="3" width="18" customWidth="1"/>
    <col min="4" max="4" width="16" customWidth="1"/>
    <col min="5" max="6" width="22" customWidth="1"/>
    <col min="7" max="7" width="20" customWidth="1"/>
    <col min="8" max="8" width="24" customWidth="1"/>
    <col min="9" max="9" width="14" customWidth="1"/>
    <col min="10" max="11" width="12" customWidth="1"/>
    <col min="16" max="16" width="14" customWidth="1"/>
  </cols>
  <sheetData>
    <row r="1" spans="1:16" ht="27.75" customHeight="1" thickBot="1">
      <c r="A1" s="184" t="s">
        <v>747</v>
      </c>
      <c r="B1" s="184"/>
      <c r="C1" s="184"/>
      <c r="D1" s="184"/>
      <c r="E1" s="184"/>
      <c r="F1" s="184"/>
      <c r="G1" s="184"/>
      <c r="I1" s="4" t="s">
        <v>72</v>
      </c>
      <c r="J1" s="3"/>
      <c r="P1" s="4" t="s">
        <v>72</v>
      </c>
    </row>
    <row r="2" spans="1:16" ht="14.25" customHeight="1">
      <c r="A2" s="195" t="s">
        <v>748</v>
      </c>
      <c r="B2" s="195"/>
      <c r="C2" s="195"/>
      <c r="D2" s="195"/>
      <c r="E2" s="195"/>
      <c r="F2" s="195"/>
      <c r="G2" s="195"/>
      <c r="H2" s="195"/>
      <c r="I2" s="195"/>
    </row>
    <row r="4" spans="1:16" ht="36" customHeight="1">
      <c r="A4" s="5" t="s">
        <v>724</v>
      </c>
      <c r="B4" s="5" t="s">
        <v>725</v>
      </c>
      <c r="C4" s="5" t="s">
        <v>749</v>
      </c>
      <c r="D4" s="5" t="s">
        <v>750</v>
      </c>
      <c r="E4" s="5" t="s">
        <v>751</v>
      </c>
      <c r="F4" s="5" t="s">
        <v>752</v>
      </c>
      <c r="G4" s="5" t="s">
        <v>753</v>
      </c>
      <c r="H4" s="5" t="s">
        <v>754</v>
      </c>
      <c r="I4" s="5" t="s">
        <v>755</v>
      </c>
    </row>
    <row r="5" spans="1:16" ht="14.25" customHeight="1">
      <c r="A5" s="152" t="str">
        <f>'11. Founders — Inputs'!A14</f>
        <v>I</v>
      </c>
      <c r="B5" s="152" t="str">
        <f>'11. Founders — Inputs'!B14</f>
        <v>시작의 문</v>
      </c>
      <c r="C5" s="153">
        <f>'11. Founders — Inputs'!D14</f>
        <v>0.01</v>
      </c>
      <c r="D5" s="154">
        <f>'11. Founders — Inputs'!B23</f>
        <v>2500</v>
      </c>
      <c r="E5" s="7">
        <f>D5*(1+'4. Pricing Levers'!$B$12)</f>
        <v>2737.5</v>
      </c>
      <c r="F5" s="155">
        <f>E5*C5</f>
        <v>27.375</v>
      </c>
      <c r="G5" s="154">
        <f>'11. Founders — Inputs'!C14</f>
        <v>5000</v>
      </c>
      <c r="H5" s="107">
        <f>G5*'4. Pricing Levers'!$B$12</f>
        <v>475</v>
      </c>
      <c r="I5" s="156">
        <f>H5-F5</f>
        <v>447.625</v>
      </c>
    </row>
    <row r="6" spans="1:16" ht="14.25" customHeight="1">
      <c r="A6" s="152" t="str">
        <f>'11. Founders — Inputs'!A15</f>
        <v>II</v>
      </c>
      <c r="B6" s="152" t="str">
        <f>'11. Founders — Inputs'!B15</f>
        <v>셋의 표식</v>
      </c>
      <c r="C6" s="153">
        <f>'11. Founders — Inputs'!D15</f>
        <v>1.4999999999999999E-2</v>
      </c>
      <c r="D6" s="154">
        <f>'11. Founders — Inputs'!B24</f>
        <v>3500</v>
      </c>
      <c r="E6" s="7">
        <f>D6*(1+'4. Pricing Levers'!$B$12)</f>
        <v>3832.5</v>
      </c>
      <c r="F6" s="155">
        <f>E6*C6</f>
        <v>57.487499999999997</v>
      </c>
      <c r="G6" s="154">
        <f>'11. Founders — Inputs'!C15</f>
        <v>15000</v>
      </c>
      <c r="H6" s="107">
        <f>G6*'4. Pricing Levers'!$B$12</f>
        <v>1425</v>
      </c>
      <c r="I6" s="156">
        <f>H6-F6</f>
        <v>1367.5125</v>
      </c>
    </row>
    <row r="7" spans="1:16" ht="14.25" customHeight="1">
      <c r="A7" s="152" t="str">
        <f>'11. Founders — Inputs'!A16</f>
        <v>III</v>
      </c>
      <c r="B7" s="152" t="str">
        <f>'11. Founders — Inputs'!B16</f>
        <v>정점</v>
      </c>
      <c r="C7" s="153">
        <f>'11. Founders — Inputs'!D16</f>
        <v>0.02</v>
      </c>
      <c r="D7" s="154">
        <f>'11. Founders — Inputs'!B25</f>
        <v>7500</v>
      </c>
      <c r="E7" s="7">
        <f>D7*(1+'4. Pricing Levers'!$B$12)</f>
        <v>8212.5</v>
      </c>
      <c r="F7" s="155">
        <f>E7*C7</f>
        <v>164.25</v>
      </c>
      <c r="G7" s="154">
        <f>'11. Founders — Inputs'!C16</f>
        <v>35000</v>
      </c>
      <c r="H7" s="107">
        <f>G7*'4. Pricing Levers'!$B$12</f>
        <v>3325</v>
      </c>
      <c r="I7" s="156">
        <f>H7-F7</f>
        <v>3160.75</v>
      </c>
    </row>
    <row r="8" spans="1:16" ht="14.25" customHeight="1">
      <c r="A8" s="152" t="str">
        <f>'11. Founders — Inputs'!A17</f>
        <v>IV</v>
      </c>
      <c r="B8" s="152" t="str">
        <f>'11. Founders — Inputs'!B17</f>
        <v>볼트 순례</v>
      </c>
      <c r="C8" s="153">
        <f>'11. Founders — Inputs'!D17</f>
        <v>2.5000000000000001E-2</v>
      </c>
      <c r="D8" s="154">
        <f>'11. Founders — Inputs'!B26</f>
        <v>15000</v>
      </c>
      <c r="E8" s="7">
        <f>D8*(1+'4. Pricing Levers'!$B$12)</f>
        <v>16425</v>
      </c>
      <c r="F8" s="155">
        <f>E8*C8</f>
        <v>410.625</v>
      </c>
      <c r="G8" s="154">
        <f>'11. Founders — Inputs'!C17</f>
        <v>65000</v>
      </c>
      <c r="H8" s="107">
        <f>G8*'4. Pricing Levers'!$B$12</f>
        <v>6175</v>
      </c>
      <c r="I8" s="156">
        <f>H8-F8</f>
        <v>5764.375</v>
      </c>
    </row>
    <row r="9" spans="1:16" ht="14.25" customHeight="1">
      <c r="A9" s="152" t="str">
        <f>'11. Founders — Inputs'!A18</f>
        <v>V</v>
      </c>
      <c r="B9" s="152" t="str">
        <f>'11. Founders — Inputs'!B18</f>
        <v>평생의 표식</v>
      </c>
      <c r="C9" s="153">
        <f>'11. Founders — Inputs'!D18</f>
        <v>0.03</v>
      </c>
      <c r="D9" s="154">
        <f>'11. Founders — Inputs'!B27</f>
        <v>25000</v>
      </c>
      <c r="E9" s="7">
        <f>D9*(1+'4. Pricing Levers'!$B$12)</f>
        <v>27375</v>
      </c>
      <c r="F9" s="155">
        <f>E9*C9</f>
        <v>821.25</v>
      </c>
      <c r="G9" s="154">
        <f>'11. Founders — Inputs'!C18</f>
        <v>100000</v>
      </c>
      <c r="H9" s="107">
        <f>G9*'4. Pricing Levers'!$B$12</f>
        <v>9500</v>
      </c>
      <c r="I9" s="156">
        <f>H9-F9</f>
        <v>8678.75</v>
      </c>
    </row>
  </sheetData>
  <mergeCells count="1">
    <mergeCell ref="A2:I2"/>
  </mergeCells>
  <hyperlinks>
    <hyperlink ref="I1" location="'1. Master P&amp;L Summary'!A1" display="↑ P&amp;L" xr:uid="{00000000-0004-0000-0B00-000000000000}"/>
    <hyperlink ref="P1" location="'1. Master P&amp;L Summary'!A1" display="↑ P&amp;L" xr:uid="{00000000-0004-0000-0B00-00000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1"/>
  <sheetViews>
    <sheetView showGridLines="0" zoomScale="93" zoomScaleNormal="93" workbookViewId="0">
      <selection activeCell="H10" sqref="H10"/>
    </sheetView>
  </sheetViews>
  <sheetFormatPr defaultColWidth="8.69140625" defaultRowHeight="14.6"/>
  <cols>
    <col min="1" max="1" width="22" customWidth="1"/>
    <col min="2" max="3" width="12" customWidth="1"/>
    <col min="4" max="8" width="22" customWidth="1"/>
    <col min="9" max="10" width="14" customWidth="1"/>
    <col min="16" max="16" width="14" customWidth="1"/>
  </cols>
  <sheetData>
    <row r="1" spans="1:16" ht="27.75" customHeight="1" thickBot="1">
      <c r="A1" s="184" t="s">
        <v>756</v>
      </c>
      <c r="B1" s="184"/>
      <c r="C1" s="184"/>
      <c r="D1" s="184"/>
      <c r="E1" s="184"/>
      <c r="F1" s="184"/>
      <c r="G1" s="184"/>
      <c r="I1" s="4" t="s">
        <v>72</v>
      </c>
      <c r="P1" s="4" t="s">
        <v>72</v>
      </c>
    </row>
    <row r="2" spans="1:16" ht="14.25" customHeight="1">
      <c r="A2" s="195" t="s">
        <v>757</v>
      </c>
      <c r="B2" s="195"/>
      <c r="C2" s="195"/>
      <c r="D2" s="195"/>
      <c r="E2" s="195"/>
      <c r="F2" s="195"/>
      <c r="G2" s="195"/>
      <c r="H2" s="195"/>
    </row>
    <row r="4" spans="1:16" ht="36" customHeight="1">
      <c r="A4" s="5" t="s">
        <v>724</v>
      </c>
      <c r="B4" s="5" t="s">
        <v>758</v>
      </c>
      <c r="C4" s="5" t="s">
        <v>759</v>
      </c>
      <c r="D4" s="5" t="s">
        <v>760</v>
      </c>
      <c r="E4" s="5" t="s">
        <v>761</v>
      </c>
      <c r="F4" s="5" t="s">
        <v>762</v>
      </c>
      <c r="G4" s="5" t="s">
        <v>763</v>
      </c>
      <c r="H4" s="5" t="s">
        <v>764</v>
      </c>
    </row>
    <row r="5" spans="1:16" ht="14.25" customHeight="1">
      <c r="A5" s="152" t="str">
        <f>'11. Founders — Inputs'!A14</f>
        <v>I</v>
      </c>
      <c r="B5" s="157">
        <f>'11. Founders — Inputs'!E14</f>
        <v>0.25</v>
      </c>
      <c r="C5" s="54">
        <f>ROUND('11. Founders — Inputs'!$B$5*B5,0)</f>
        <v>500</v>
      </c>
      <c r="D5" s="6">
        <f>'12. Founders — Per-Patron'!F5</f>
        <v>27.375</v>
      </c>
      <c r="E5" s="155">
        <f>C5*D5</f>
        <v>13687.5</v>
      </c>
      <c r="F5" s="6">
        <f>'12. Founders — Per-Patron'!H5</f>
        <v>475</v>
      </c>
      <c r="G5" s="107">
        <f>C5*F5</f>
        <v>237500</v>
      </c>
      <c r="H5" s="156">
        <f>G5-E5</f>
        <v>223812.5</v>
      </c>
    </row>
    <row r="6" spans="1:16" ht="14.25" customHeight="1">
      <c r="A6" s="152" t="str">
        <f>'11. Founders — Inputs'!A15</f>
        <v>II</v>
      </c>
      <c r="B6" s="157">
        <f>'11. Founders — Inputs'!E15</f>
        <v>0.08</v>
      </c>
      <c r="C6" s="54">
        <f>ROUND('11. Founders — Inputs'!$B$5*B6,0)</f>
        <v>160</v>
      </c>
      <c r="D6" s="6">
        <f>'12. Founders — Per-Patron'!F6</f>
        <v>57.487499999999997</v>
      </c>
      <c r="E6" s="155">
        <f>C6*D6</f>
        <v>9198</v>
      </c>
      <c r="F6" s="6">
        <f>'12. Founders — Per-Patron'!H6</f>
        <v>1425</v>
      </c>
      <c r="G6" s="107">
        <f>C6*F6</f>
        <v>228000</v>
      </c>
      <c r="H6" s="156">
        <f>G6-E6</f>
        <v>218802</v>
      </c>
    </row>
    <row r="7" spans="1:16" ht="14.25" customHeight="1">
      <c r="A7" s="152" t="str">
        <f>'11. Founders — Inputs'!A16</f>
        <v>III</v>
      </c>
      <c r="B7" s="157">
        <f>'11. Founders — Inputs'!E16</f>
        <v>0.02</v>
      </c>
      <c r="C7" s="54">
        <f>ROUND('11. Founders — Inputs'!$B$5*B7,0)</f>
        <v>40</v>
      </c>
      <c r="D7" s="6">
        <f>'12. Founders — Per-Patron'!F7</f>
        <v>164.25</v>
      </c>
      <c r="E7" s="155">
        <f>C7*D7</f>
        <v>6570</v>
      </c>
      <c r="F7" s="6">
        <f>'12. Founders — Per-Patron'!H7</f>
        <v>3325</v>
      </c>
      <c r="G7" s="107">
        <f>C7*F7</f>
        <v>133000</v>
      </c>
      <c r="H7" s="156">
        <f>G7-E7</f>
        <v>126430</v>
      </c>
    </row>
    <row r="8" spans="1:16" ht="14.25" customHeight="1">
      <c r="A8" s="152" t="str">
        <f>'11. Founders — Inputs'!A17</f>
        <v>IV</v>
      </c>
      <c r="B8" s="157">
        <f>'11. Founders — Inputs'!E17</f>
        <v>5.0000000000000001E-3</v>
      </c>
      <c r="C8" s="54">
        <f>ROUND('11. Founders — Inputs'!$B$5*B8,0)</f>
        <v>10</v>
      </c>
      <c r="D8" s="6">
        <f>'12. Founders — Per-Patron'!F8</f>
        <v>410.625</v>
      </c>
      <c r="E8" s="155">
        <f>C8*D8</f>
        <v>4106.25</v>
      </c>
      <c r="F8" s="6">
        <f>'12. Founders — Per-Patron'!H8</f>
        <v>6175</v>
      </c>
      <c r="G8" s="107">
        <f>C8*F8</f>
        <v>61750</v>
      </c>
      <c r="H8" s="156">
        <f>G8-E8</f>
        <v>57643.75</v>
      </c>
    </row>
    <row r="9" spans="1:16" ht="14.25" customHeight="1">
      <c r="A9" s="152" t="str">
        <f>'11. Founders — Inputs'!A18</f>
        <v>V</v>
      </c>
      <c r="B9" s="157">
        <f>'11. Founders — Inputs'!E18</f>
        <v>1E-3</v>
      </c>
      <c r="C9" s="54">
        <f>ROUND('11. Founders — Inputs'!$B$5*B9,0)</f>
        <v>2</v>
      </c>
      <c r="D9" s="6">
        <f>'12. Founders — Per-Patron'!F9</f>
        <v>821.25</v>
      </c>
      <c r="E9" s="155">
        <f>C9*D9</f>
        <v>1642.5</v>
      </c>
      <c r="F9" s="6">
        <f>'12. Founders — Per-Patron'!H9</f>
        <v>9500</v>
      </c>
      <c r="G9" s="107">
        <f>C9*F9</f>
        <v>19000</v>
      </c>
      <c r="H9" s="156">
        <f>G9-E9</f>
        <v>17357.5</v>
      </c>
    </row>
    <row r="11" spans="1:16" ht="14.25" customHeight="1">
      <c r="A11" s="50" t="s">
        <v>765</v>
      </c>
      <c r="B11" s="158"/>
      <c r="C11" s="159">
        <f>SUM(C5:C9)</f>
        <v>712</v>
      </c>
      <c r="D11" s="158"/>
      <c r="E11" s="160">
        <f>SUM(E5:E9)</f>
        <v>35204.25</v>
      </c>
      <c r="F11" s="158"/>
      <c r="G11" s="161">
        <f>SUM(G5:G9)</f>
        <v>679250</v>
      </c>
      <c r="H11" s="161">
        <f>SUM(H5:H9)</f>
        <v>644045.75</v>
      </c>
    </row>
  </sheetData>
  <mergeCells count="1">
    <mergeCell ref="A2:H2"/>
  </mergeCells>
  <hyperlinks>
    <hyperlink ref="I1" location="'1. Master P&amp;L Summary'!A1" display="↑ P&amp;L" xr:uid="{00000000-0004-0000-0C00-000000000000}"/>
    <hyperlink ref="P1" location="'1. Master P&amp;L Summary'!A1" display="↑ P&amp;L" xr:uid="{00000000-0004-0000-0C00-00000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0"/>
  <sheetViews>
    <sheetView showGridLines="0" zoomScale="93" zoomScaleNormal="93" workbookViewId="0">
      <selection activeCell="E7" sqref="E7"/>
    </sheetView>
  </sheetViews>
  <sheetFormatPr defaultColWidth="8.69140625" defaultRowHeight="14.6"/>
  <cols>
    <col min="1" max="1" width="16" customWidth="1"/>
    <col min="2" max="5" width="18" customWidth="1"/>
    <col min="6" max="6" width="12" customWidth="1"/>
    <col min="7" max="7" width="22" customWidth="1"/>
    <col min="9" max="10" width="14" customWidth="1"/>
    <col min="16" max="16" width="14" customWidth="1"/>
  </cols>
  <sheetData>
    <row r="1" spans="1:16" ht="27.75" customHeight="1" thickBot="1">
      <c r="A1" s="184" t="s">
        <v>766</v>
      </c>
      <c r="B1" s="184"/>
      <c r="C1" s="184"/>
      <c r="D1" s="184"/>
      <c r="E1" s="184"/>
      <c r="F1" s="184"/>
      <c r="G1" s="184"/>
      <c r="I1" s="4" t="s">
        <v>72</v>
      </c>
      <c r="P1" s="4" t="s">
        <v>72</v>
      </c>
    </row>
    <row r="4" spans="1:16" ht="14.25" customHeight="1">
      <c r="A4" s="192" t="s">
        <v>767</v>
      </c>
      <c r="B4" s="192"/>
      <c r="C4" s="192"/>
      <c r="D4" s="192"/>
      <c r="E4" s="192"/>
      <c r="F4" s="192"/>
      <c r="G4" s="192"/>
    </row>
    <row r="5" spans="1:16" ht="14.25" customHeight="1">
      <c r="A5" s="5" t="s">
        <v>768</v>
      </c>
      <c r="B5" s="5" t="s">
        <v>769</v>
      </c>
      <c r="C5" s="5" t="s">
        <v>759</v>
      </c>
      <c r="D5" s="5" t="s">
        <v>770</v>
      </c>
      <c r="E5" s="5" t="s">
        <v>771</v>
      </c>
      <c r="F5" s="5" t="s">
        <v>772</v>
      </c>
      <c r="G5" s="5" t="s">
        <v>773</v>
      </c>
    </row>
    <row r="6" spans="1:16" ht="14.25" customHeight="1">
      <c r="A6" s="162" t="s">
        <v>774</v>
      </c>
      <c r="B6" s="48">
        <v>0.5</v>
      </c>
      <c r="C6" s="54">
        <f>ROUND('13. Founders — Aggregate'!C11*B6,0)</f>
        <v>356</v>
      </c>
      <c r="D6" s="7">
        <f>'13. Founders — Aggregate'!E11*B6</f>
        <v>17602.125</v>
      </c>
      <c r="E6" s="7">
        <f>'13. Founders — Aggregate'!G11*B6</f>
        <v>339625</v>
      </c>
      <c r="F6" s="107">
        <f>E6-D6</f>
        <v>322022.875</v>
      </c>
      <c r="G6" s="60">
        <f>E6/D6</f>
        <v>19.294545402898798</v>
      </c>
    </row>
    <row r="7" spans="1:16" ht="14.25" customHeight="1">
      <c r="A7" s="163" t="s">
        <v>775</v>
      </c>
      <c r="B7" s="164">
        <v>1</v>
      </c>
      <c r="C7" s="165">
        <f>ROUND('13. Founders — Aggregate'!C11*B7,0)</f>
        <v>712</v>
      </c>
      <c r="D7" s="111">
        <f>'13. Founders — Aggregate'!E11*B7</f>
        <v>35204.25</v>
      </c>
      <c r="E7" s="111">
        <f>'13. Founders — Aggregate'!G11*B7</f>
        <v>679250</v>
      </c>
      <c r="F7" s="156">
        <f>E7-D7</f>
        <v>644045.75</v>
      </c>
      <c r="G7" s="166">
        <f>E7/D7</f>
        <v>19.294545402898798</v>
      </c>
    </row>
    <row r="8" spans="1:16" ht="14.25" customHeight="1">
      <c r="A8" s="162" t="s">
        <v>776</v>
      </c>
      <c r="B8" s="48">
        <v>2</v>
      </c>
      <c r="C8" s="54">
        <f>ROUND('13. Founders — Aggregate'!C11*B8,0)</f>
        <v>1424</v>
      </c>
      <c r="D8" s="7">
        <f>'13. Founders — Aggregate'!E11*B8</f>
        <v>70408.5</v>
      </c>
      <c r="E8" s="7">
        <f>'13. Founders — Aggregate'!G11*B8</f>
        <v>1358500</v>
      </c>
      <c r="F8" s="107">
        <f>E8-D8</f>
        <v>1288091.5</v>
      </c>
      <c r="G8" s="60">
        <f>E8/D8</f>
        <v>19.294545402898798</v>
      </c>
    </row>
    <row r="9" spans="1:16" ht="14.25" customHeight="1">
      <c r="A9" s="162" t="s">
        <v>777</v>
      </c>
      <c r="B9" s="48">
        <v>3</v>
      </c>
      <c r="C9" s="54">
        <f>ROUND('13. Founders — Aggregate'!C11*B9,0)</f>
        <v>2136</v>
      </c>
      <c r="D9" s="7">
        <f>'13. Founders — Aggregate'!E11*B9</f>
        <v>105612.75</v>
      </c>
      <c r="E9" s="7">
        <f>'13. Founders — Aggregate'!G11*B9</f>
        <v>2037750</v>
      </c>
      <c r="F9" s="107">
        <f>E9-D9</f>
        <v>1932137.25</v>
      </c>
      <c r="G9" s="60">
        <f>E9/D9</f>
        <v>19.294545402898798</v>
      </c>
    </row>
    <row r="10" spans="1:16" ht="14.25" customHeight="1">
      <c r="A10" s="162" t="s">
        <v>778</v>
      </c>
      <c r="B10" s="48">
        <v>5</v>
      </c>
      <c r="C10" s="54">
        <f>ROUND('13. Founders — Aggregate'!C11*B10,0)</f>
        <v>3560</v>
      </c>
      <c r="D10" s="7">
        <f>'13. Founders — Aggregate'!E11*B10</f>
        <v>176021.25</v>
      </c>
      <c r="E10" s="7">
        <f>'13. Founders — Aggregate'!G11*B10</f>
        <v>3396250</v>
      </c>
      <c r="F10" s="107">
        <f>E10-D10</f>
        <v>3220228.75</v>
      </c>
      <c r="G10" s="60">
        <f>E10/D10</f>
        <v>19.294545402898798</v>
      </c>
    </row>
  </sheetData>
  <mergeCells count="1">
    <mergeCell ref="A4:G4"/>
  </mergeCells>
  <hyperlinks>
    <hyperlink ref="I1" location="'1. Master P&amp;L Summary'!A1" display="↑ P&amp;L" xr:uid="{00000000-0004-0000-0D00-000000000000}"/>
    <hyperlink ref="P1" location="'1. Master P&amp;L Summary'!A1" display="↑ P&amp;L" xr:uid="{00000000-0004-0000-0D00-00000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8"/>
  <sheetViews>
    <sheetView showGridLines="0" zoomScale="93" zoomScaleNormal="93" workbookViewId="0">
      <selection activeCell="E10" sqref="E10"/>
    </sheetView>
  </sheetViews>
  <sheetFormatPr defaultColWidth="8.69140625" defaultRowHeight="14.6"/>
  <cols>
    <col min="1" max="1" width="42" customWidth="1"/>
    <col min="2" max="3" width="18" customWidth="1"/>
    <col min="4" max="4" width="22" customWidth="1"/>
    <col min="5" max="5" width="14" customWidth="1"/>
    <col min="6" max="6" width="30" customWidth="1"/>
    <col min="8" max="9" width="12" customWidth="1"/>
    <col min="16" max="16" width="14" customWidth="1"/>
  </cols>
  <sheetData>
    <row r="1" spans="1:16" ht="27.75" customHeight="1" thickBot="1">
      <c r="A1" s="184" t="s">
        <v>779</v>
      </c>
      <c r="B1" s="184"/>
      <c r="C1" s="184"/>
      <c r="D1" s="184"/>
      <c r="E1" s="184"/>
      <c r="F1" s="184"/>
      <c r="G1" s="184"/>
      <c r="H1" s="3"/>
      <c r="I1" s="4" t="s">
        <v>72</v>
      </c>
      <c r="P1" s="4" t="s">
        <v>72</v>
      </c>
    </row>
    <row r="2" spans="1:16" ht="14.25" customHeight="1">
      <c r="A2" s="195" t="s">
        <v>780</v>
      </c>
      <c r="B2" s="195"/>
      <c r="C2" s="195"/>
      <c r="D2" s="195"/>
      <c r="E2" s="195"/>
      <c r="F2" s="195"/>
    </row>
    <row r="4" spans="1:16" ht="14.25" customHeight="1">
      <c r="A4" s="192" t="s">
        <v>781</v>
      </c>
      <c r="B4" s="192"/>
      <c r="C4" s="192"/>
      <c r="D4" s="192"/>
      <c r="E4" s="192"/>
      <c r="F4" s="192"/>
    </row>
    <row r="5" spans="1:16" ht="14.25" customHeight="1">
      <c r="A5" s="5" t="s">
        <v>782</v>
      </c>
      <c r="B5" s="5" t="s">
        <v>783</v>
      </c>
      <c r="C5" s="5" t="s">
        <v>784</v>
      </c>
      <c r="D5" s="5" t="s">
        <v>785</v>
      </c>
      <c r="E5" s="5" t="s">
        <v>786</v>
      </c>
      <c r="F5" s="5" t="s">
        <v>174</v>
      </c>
    </row>
    <row r="6" spans="1:16" ht="14.25" customHeight="1">
      <c r="A6" s="143" t="s">
        <v>787</v>
      </c>
      <c r="B6" s="167" t="s">
        <v>788</v>
      </c>
      <c r="C6" s="66">
        <v>140</v>
      </c>
      <c r="D6" s="7">
        <f>C6*12</f>
        <v>1680</v>
      </c>
      <c r="E6" s="63">
        <v>0.4</v>
      </c>
      <c r="F6" s="2" t="s">
        <v>789</v>
      </c>
    </row>
    <row r="7" spans="1:16" ht="14.25" customHeight="1">
      <c r="A7" s="143" t="s">
        <v>790</v>
      </c>
      <c r="B7" s="167" t="s">
        <v>791</v>
      </c>
      <c r="C7" s="66">
        <v>350</v>
      </c>
      <c r="D7" s="7">
        <f>C7*12</f>
        <v>4200</v>
      </c>
      <c r="E7" s="63">
        <v>0.3</v>
      </c>
      <c r="F7" s="2" t="s">
        <v>792</v>
      </c>
    </row>
    <row r="8" spans="1:16" ht="14.25" customHeight="1">
      <c r="A8" s="143" t="s">
        <v>793</v>
      </c>
      <c r="B8" s="167" t="s">
        <v>794</v>
      </c>
      <c r="C8" s="66">
        <v>700</v>
      </c>
      <c r="D8" s="7">
        <f>C8*12</f>
        <v>8400</v>
      </c>
      <c r="E8" s="63">
        <v>0.25</v>
      </c>
      <c r="F8" s="2" t="s">
        <v>795</v>
      </c>
    </row>
    <row r="9" spans="1:16" ht="14.25" customHeight="1">
      <c r="A9" s="143" t="s">
        <v>796</v>
      </c>
      <c r="B9" s="167" t="s">
        <v>797</v>
      </c>
      <c r="C9" s="66">
        <v>1700</v>
      </c>
      <c r="D9" s="7">
        <f>C9*12</f>
        <v>20400</v>
      </c>
      <c r="E9" s="63">
        <v>0.03</v>
      </c>
      <c r="F9" s="2" t="s">
        <v>798</v>
      </c>
    </row>
    <row r="10" spans="1:16" ht="14.25" customHeight="1">
      <c r="A10" s="143" t="s">
        <v>799</v>
      </c>
      <c r="B10" s="167" t="s">
        <v>800</v>
      </c>
      <c r="C10" s="66">
        <v>3400</v>
      </c>
      <c r="D10" s="7">
        <f>C10*12</f>
        <v>40800</v>
      </c>
      <c r="E10" s="63">
        <v>0.02</v>
      </c>
      <c r="F10" s="2" t="s">
        <v>801</v>
      </c>
    </row>
    <row r="11" spans="1:16" ht="15.75" customHeight="1">
      <c r="B11" s="191" t="s">
        <v>802</v>
      </c>
      <c r="C11" s="191"/>
      <c r="D11" s="191"/>
      <c r="E11" s="23">
        <f>SUMPRODUCT(C6:C10,E6:E10)</f>
        <v>455</v>
      </c>
    </row>
    <row r="13" spans="1:16" ht="14.25" customHeight="1">
      <c r="A13" s="192" t="s">
        <v>803</v>
      </c>
      <c r="B13" s="192"/>
      <c r="C13" s="192"/>
      <c r="D13" s="192"/>
      <c r="E13" s="192"/>
      <c r="F13" s="192"/>
    </row>
    <row r="14" spans="1:16" ht="14.25" customHeight="1">
      <c r="A14" s="5" t="s">
        <v>54</v>
      </c>
      <c r="B14" s="5" t="s">
        <v>804</v>
      </c>
      <c r="C14" s="5" t="s">
        <v>805</v>
      </c>
      <c r="D14" s="5" t="s">
        <v>806</v>
      </c>
      <c r="E14" s="5" t="s">
        <v>807</v>
      </c>
      <c r="F14" s="5" t="s">
        <v>174</v>
      </c>
    </row>
    <row r="15" spans="1:16" ht="14.25" customHeight="1">
      <c r="A15" s="1" t="s">
        <v>808</v>
      </c>
      <c r="B15" s="67">
        <v>200000</v>
      </c>
      <c r="C15" s="67">
        <v>50000</v>
      </c>
      <c r="D15" s="67">
        <v>500000</v>
      </c>
      <c r="E15" s="2" t="s">
        <v>809</v>
      </c>
      <c r="F15" s="2" t="s">
        <v>810</v>
      </c>
    </row>
    <row r="16" spans="1:16" ht="14.25" customHeight="1">
      <c r="A16" s="1" t="s">
        <v>811</v>
      </c>
      <c r="B16" s="63">
        <v>2.5000000000000001E-2</v>
      </c>
      <c r="C16" s="63">
        <v>0.01</v>
      </c>
      <c r="D16" s="63">
        <v>0.05</v>
      </c>
      <c r="E16" s="2" t="s">
        <v>812</v>
      </c>
      <c r="F16" s="2" t="s">
        <v>813</v>
      </c>
    </row>
    <row r="17" spans="1:6" ht="14.25" customHeight="1">
      <c r="A17" s="1" t="s">
        <v>814</v>
      </c>
      <c r="B17" s="63">
        <v>0.08</v>
      </c>
      <c r="C17" s="63">
        <v>0.03</v>
      </c>
      <c r="D17" s="63">
        <v>0.15</v>
      </c>
      <c r="E17" s="2" t="s">
        <v>812</v>
      </c>
      <c r="F17" s="2" t="s">
        <v>815</v>
      </c>
    </row>
    <row r="18" spans="1:6" ht="14.25" customHeight="1">
      <c r="A18" s="1" t="s">
        <v>816</v>
      </c>
      <c r="B18" s="63">
        <v>0.45</v>
      </c>
      <c r="C18" s="63">
        <v>0.25</v>
      </c>
      <c r="D18" s="63">
        <v>0.65</v>
      </c>
      <c r="E18" s="2" t="s">
        <v>812</v>
      </c>
      <c r="F18" s="2" t="s">
        <v>817</v>
      </c>
    </row>
    <row r="19" spans="1:6" ht="14.25" customHeight="1">
      <c r="A19" s="1" t="s">
        <v>818</v>
      </c>
      <c r="B19" s="63">
        <v>0.7</v>
      </c>
      <c r="C19" s="63">
        <v>0.5</v>
      </c>
      <c r="D19" s="63">
        <v>0.85</v>
      </c>
      <c r="E19" s="2" t="s">
        <v>812</v>
      </c>
      <c r="F19" s="2" t="s">
        <v>819</v>
      </c>
    </row>
    <row r="21" spans="1:6" ht="14.25" customHeight="1">
      <c r="A21" s="192" t="s">
        <v>820</v>
      </c>
      <c r="B21" s="192"/>
      <c r="C21" s="192"/>
      <c r="D21" s="192"/>
      <c r="E21" s="192"/>
      <c r="F21" s="192"/>
    </row>
    <row r="22" spans="1:6" ht="14.25" customHeight="1">
      <c r="A22" s="1" t="s">
        <v>821</v>
      </c>
      <c r="B22" s="63">
        <v>2.5000000000000001E-2</v>
      </c>
      <c r="C22" s="215" t="s">
        <v>822</v>
      </c>
      <c r="D22" s="215"/>
      <c r="E22" s="215"/>
      <c r="F22" s="215"/>
    </row>
    <row r="23" spans="1:6" ht="14.25" customHeight="1">
      <c r="A23" s="1" t="s">
        <v>823</v>
      </c>
      <c r="B23" s="8">
        <f>POWER(1-B22,12)</f>
        <v>0.73799834582665091</v>
      </c>
      <c r="C23" s="215" t="s">
        <v>239</v>
      </c>
      <c r="D23" s="215"/>
      <c r="E23" s="215"/>
      <c r="F23" s="215"/>
    </row>
    <row r="24" spans="1:6" ht="14.25" customHeight="1">
      <c r="A24" s="1" t="s">
        <v>824</v>
      </c>
      <c r="B24" s="63">
        <v>0.65</v>
      </c>
      <c r="C24" s="215" t="s">
        <v>825</v>
      </c>
      <c r="D24" s="215"/>
      <c r="E24" s="215"/>
      <c r="F24" s="215"/>
    </row>
    <row r="26" spans="1:6" ht="14.25" customHeight="1">
      <c r="A26" s="192" t="s">
        <v>826</v>
      </c>
      <c r="B26" s="192"/>
      <c r="C26" s="192"/>
      <c r="D26" s="192"/>
      <c r="E26" s="192"/>
      <c r="F26" s="192"/>
    </row>
    <row r="27" spans="1:6" ht="14.25" customHeight="1">
      <c r="A27" s="1" t="s">
        <v>827</v>
      </c>
      <c r="B27" s="66">
        <v>10000</v>
      </c>
      <c r="C27" s="215" t="s">
        <v>828</v>
      </c>
      <c r="D27" s="215"/>
      <c r="E27" s="215"/>
      <c r="F27" s="215"/>
    </row>
    <row r="28" spans="1:6" ht="14.25" customHeight="1">
      <c r="A28" s="1" t="s">
        <v>829</v>
      </c>
      <c r="B28" s="66">
        <v>25</v>
      </c>
      <c r="C28" s="215" t="s">
        <v>830</v>
      </c>
      <c r="D28" s="215"/>
      <c r="E28" s="215"/>
      <c r="F28" s="215"/>
    </row>
  </sheetData>
  <mergeCells count="11">
    <mergeCell ref="A2:F2"/>
    <mergeCell ref="A4:F4"/>
    <mergeCell ref="B11:D11"/>
    <mergeCell ref="A13:F13"/>
    <mergeCell ref="C27:F27"/>
    <mergeCell ref="C28:F28"/>
    <mergeCell ref="A21:F21"/>
    <mergeCell ref="C22:F22"/>
    <mergeCell ref="C23:F23"/>
    <mergeCell ref="C24:F24"/>
    <mergeCell ref="A26:F26"/>
  </mergeCells>
  <hyperlinks>
    <hyperlink ref="I1" location="'1. Master P&amp;L Summary'!A1" display="↑ P&amp;L" xr:uid="{00000000-0004-0000-0E00-000000000000}"/>
    <hyperlink ref="P1" location="'1. Master P&amp;L Summary'!A1" display="↑ P&amp;L" xr:uid="{00000000-0004-0000-0E00-00000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7"/>
  <sheetViews>
    <sheetView showGridLines="0" zoomScale="93" zoomScaleNormal="93" workbookViewId="0">
      <selection activeCell="F27" sqref="F27"/>
    </sheetView>
  </sheetViews>
  <sheetFormatPr defaultColWidth="8.69140625" defaultRowHeight="14.6"/>
  <cols>
    <col min="1" max="1" width="16" customWidth="1"/>
    <col min="2" max="2" width="12" customWidth="1"/>
    <col min="3" max="4" width="18" customWidth="1"/>
    <col min="5" max="7" width="22" customWidth="1"/>
    <col min="8" max="8" width="18" customWidth="1"/>
    <col min="9" max="10" width="14" customWidth="1"/>
    <col min="16" max="16" width="14" customWidth="1"/>
  </cols>
  <sheetData>
    <row r="1" spans="1:16" ht="27.75" customHeight="1" thickBot="1">
      <c r="A1" s="184" t="s">
        <v>831</v>
      </c>
      <c r="B1" s="184"/>
      <c r="C1" s="184"/>
      <c r="D1" s="184"/>
      <c r="E1" s="184"/>
      <c r="F1" s="184"/>
      <c r="G1" s="184"/>
      <c r="I1" s="4" t="s">
        <v>72</v>
      </c>
      <c r="P1" s="4" t="s">
        <v>72</v>
      </c>
    </row>
    <row r="2" spans="1:16" ht="14.25" customHeight="1">
      <c r="A2" s="195" t="s">
        <v>832</v>
      </c>
      <c r="B2" s="195"/>
      <c r="C2" s="195"/>
      <c r="D2" s="195"/>
      <c r="E2" s="195"/>
      <c r="F2" s="195"/>
      <c r="G2" s="195"/>
      <c r="H2" s="195"/>
    </row>
    <row r="4" spans="1:16" ht="14.25" customHeight="1">
      <c r="A4" s="192" t="s">
        <v>833</v>
      </c>
      <c r="B4" s="192"/>
      <c r="C4" s="192"/>
      <c r="D4" s="192"/>
      <c r="E4" s="192"/>
      <c r="F4" s="192"/>
      <c r="G4" s="192"/>
      <c r="H4" s="192"/>
    </row>
    <row r="5" spans="1:16" ht="14.25" customHeight="1">
      <c r="A5" s="5" t="s">
        <v>834</v>
      </c>
      <c r="B5" s="5" t="s">
        <v>418</v>
      </c>
      <c r="C5" s="5" t="s">
        <v>835</v>
      </c>
      <c r="D5" s="5" t="s">
        <v>836</v>
      </c>
    </row>
    <row r="6" spans="1:16" ht="14.25" customHeight="1">
      <c r="A6" s="1" t="s">
        <v>837</v>
      </c>
      <c r="B6" s="53">
        <f>'15. AGP — Inputs'!B15</f>
        <v>200000</v>
      </c>
      <c r="C6" s="54">
        <f>B6*12</f>
        <v>2400000</v>
      </c>
      <c r="D6" s="24" t="s">
        <v>62</v>
      </c>
    </row>
    <row r="7" spans="1:16" ht="14.25" customHeight="1">
      <c r="A7" s="1" t="s">
        <v>838</v>
      </c>
      <c r="B7" s="54">
        <f>B6*'15. AGP — Inputs'!B16</f>
        <v>5000</v>
      </c>
      <c r="C7" s="54">
        <f>B7*12</f>
        <v>60000</v>
      </c>
      <c r="D7" s="168">
        <f>'15. AGP — Inputs'!B16</f>
        <v>2.5000000000000001E-2</v>
      </c>
    </row>
    <row r="8" spans="1:16" ht="14.25" customHeight="1">
      <c r="A8" s="1" t="s">
        <v>839</v>
      </c>
      <c r="B8" s="54">
        <f>B7*'15. AGP — Inputs'!B17</f>
        <v>400</v>
      </c>
      <c r="C8" s="54">
        <f>B8*12</f>
        <v>4800</v>
      </c>
      <c r="D8" s="168">
        <f>'15. AGP — Inputs'!B17</f>
        <v>0.08</v>
      </c>
    </row>
    <row r="9" spans="1:16" ht="14.25" customHeight="1">
      <c r="A9" s="169" t="s">
        <v>840</v>
      </c>
      <c r="B9" s="165">
        <f>B8*'15. AGP — Inputs'!B18</f>
        <v>180</v>
      </c>
      <c r="C9" s="165">
        <f>B9*12</f>
        <v>2160</v>
      </c>
      <c r="D9" s="170">
        <f>'15. AGP — Inputs'!B18</f>
        <v>0.45</v>
      </c>
    </row>
    <row r="10" spans="1:16" ht="14.25" customHeight="1">
      <c r="A10" s="1" t="s">
        <v>841</v>
      </c>
      <c r="B10" s="54">
        <f>B9*'15. AGP — Inputs'!B19</f>
        <v>125.99999999999999</v>
      </c>
      <c r="C10" s="54">
        <f>B10*12</f>
        <v>1511.9999999999998</v>
      </c>
      <c r="D10" s="168">
        <f>'15. AGP — Inputs'!B19</f>
        <v>0.7</v>
      </c>
    </row>
    <row r="12" spans="1:16" ht="14.25" customHeight="1">
      <c r="A12" s="192" t="s">
        <v>842</v>
      </c>
      <c r="B12" s="192"/>
      <c r="C12" s="192"/>
      <c r="D12" s="192"/>
      <c r="E12" s="192"/>
      <c r="F12" s="192"/>
      <c r="G12" s="192"/>
      <c r="H12" s="192"/>
    </row>
    <row r="13" spans="1:16" ht="14.25" customHeight="1">
      <c r="A13" s="191" t="s">
        <v>843</v>
      </c>
      <c r="B13" s="191"/>
      <c r="C13" s="191"/>
      <c r="D13" s="53">
        <f>'18. AGP Sign-up — Math'!C18</f>
        <v>1625</v>
      </c>
      <c r="E13" s="215" t="s">
        <v>844</v>
      </c>
      <c r="F13" s="215"/>
      <c r="G13" s="215"/>
      <c r="H13" s="215"/>
    </row>
    <row r="15" spans="1:16" ht="14.25" customHeight="1">
      <c r="A15" s="192" t="s">
        <v>845</v>
      </c>
      <c r="B15" s="192"/>
      <c r="C15" s="192"/>
      <c r="D15" s="192"/>
      <c r="E15" s="192"/>
      <c r="F15" s="192"/>
      <c r="G15" s="192"/>
      <c r="H15" s="192"/>
    </row>
    <row r="16" spans="1:16" ht="15.75" customHeight="1">
      <c r="A16" s="219" t="s">
        <v>846</v>
      </c>
      <c r="B16" s="219"/>
      <c r="C16" s="219"/>
      <c r="D16" s="27">
        <f>C9+D13</f>
        <v>3785</v>
      </c>
    </row>
    <row r="19" spans="1:8" ht="14.25" customHeight="1">
      <c r="A19" s="192" t="s">
        <v>847</v>
      </c>
      <c r="B19" s="192"/>
      <c r="C19" s="192"/>
      <c r="D19" s="192"/>
      <c r="E19" s="192"/>
      <c r="F19" s="192"/>
      <c r="G19" s="192"/>
      <c r="H19" s="192"/>
    </row>
    <row r="20" spans="1:8" ht="36" customHeight="1">
      <c r="A20" s="5" t="s">
        <v>782</v>
      </c>
      <c r="B20" s="5" t="s">
        <v>848</v>
      </c>
      <c r="C20" s="5" t="s">
        <v>849</v>
      </c>
      <c r="D20" s="5" t="s">
        <v>850</v>
      </c>
      <c r="E20" s="5" t="s">
        <v>851</v>
      </c>
      <c r="F20" s="5" t="s">
        <v>852</v>
      </c>
      <c r="G20" s="5" t="s">
        <v>853</v>
      </c>
      <c r="H20" s="5" t="s">
        <v>854</v>
      </c>
    </row>
    <row r="21" spans="1:8" ht="14.25" customHeight="1">
      <c r="A21" s="171" t="str">
        <f>'15. AGP — Inputs'!A6</f>
        <v>Bronze</v>
      </c>
      <c r="B21" s="168">
        <f>'15. AGP — Inputs'!E6</f>
        <v>0.4</v>
      </c>
      <c r="C21" s="54">
        <f>ROUND($D$16*B21,0)</f>
        <v>1514</v>
      </c>
      <c r="D21" s="6">
        <f>'15. AGP — Inputs'!C6</f>
        <v>140</v>
      </c>
      <c r="E21" s="7">
        <f>D21*12</f>
        <v>1680</v>
      </c>
      <c r="F21" s="7">
        <f>C21*E21</f>
        <v>2543520</v>
      </c>
      <c r="G21" s="7">
        <f>F21*'4. Pricing Levers'!$B$12</f>
        <v>241634.4</v>
      </c>
      <c r="H21" s="7">
        <f>F21*'4. Pricing Levers'!$B$16/2</f>
        <v>6358.8</v>
      </c>
    </row>
    <row r="22" spans="1:8" ht="14.25" customHeight="1">
      <c r="A22" s="171" t="str">
        <f>'15. AGP — Inputs'!A7</f>
        <v>Silver</v>
      </c>
      <c r="B22" s="168">
        <f>'15. AGP — Inputs'!E7</f>
        <v>0.3</v>
      </c>
      <c r="C22" s="54">
        <f>ROUND($D$16*B22,0)</f>
        <v>1136</v>
      </c>
      <c r="D22" s="6">
        <f>'15. AGP — Inputs'!C7</f>
        <v>350</v>
      </c>
      <c r="E22" s="7">
        <f>D22*12</f>
        <v>4200</v>
      </c>
      <c r="F22" s="7">
        <f>C22*E22</f>
        <v>4771200</v>
      </c>
      <c r="G22" s="7">
        <f>F22*'4. Pricing Levers'!$B$12</f>
        <v>453264</v>
      </c>
      <c r="H22" s="7">
        <f>F22*'4. Pricing Levers'!$B$16/2</f>
        <v>11928</v>
      </c>
    </row>
    <row r="23" spans="1:8" ht="14.25" customHeight="1">
      <c r="A23" s="171" t="str">
        <f>'15. AGP — Inputs'!A8</f>
        <v>Gold</v>
      </c>
      <c r="B23" s="168">
        <f>'15. AGP — Inputs'!E8</f>
        <v>0.25</v>
      </c>
      <c r="C23" s="54">
        <f>ROUND($D$16*B23,0)</f>
        <v>946</v>
      </c>
      <c r="D23" s="6">
        <f>'15. AGP — Inputs'!C8</f>
        <v>700</v>
      </c>
      <c r="E23" s="7">
        <f>D23*12</f>
        <v>8400</v>
      </c>
      <c r="F23" s="7">
        <f>C23*E23</f>
        <v>7946400</v>
      </c>
      <c r="G23" s="7">
        <f>F23*'4. Pricing Levers'!$B$12</f>
        <v>754908</v>
      </c>
      <c r="H23" s="7">
        <f>F23*'4. Pricing Levers'!$B$16/2</f>
        <v>19866</v>
      </c>
    </row>
    <row r="24" spans="1:8" ht="14.25" customHeight="1">
      <c r="A24" s="171" t="str">
        <f>'15. AGP — Inputs'!A9</f>
        <v>Platinum</v>
      </c>
      <c r="B24" s="168">
        <f>'15. AGP — Inputs'!E9</f>
        <v>0.03</v>
      </c>
      <c r="C24" s="54">
        <f>ROUND($D$16*B24,0)</f>
        <v>114</v>
      </c>
      <c r="D24" s="6">
        <f>'15. AGP — Inputs'!C9</f>
        <v>1700</v>
      </c>
      <c r="E24" s="7">
        <f>D24*12</f>
        <v>20400</v>
      </c>
      <c r="F24" s="7">
        <f>C24*E24</f>
        <v>2325600</v>
      </c>
      <c r="G24" s="7">
        <f>F24*'4. Pricing Levers'!$B$12</f>
        <v>220932</v>
      </c>
      <c r="H24" s="7">
        <f>F24*'4. Pricing Levers'!$B$16/2</f>
        <v>5814</v>
      </c>
    </row>
    <row r="25" spans="1:8" ht="14.25" customHeight="1">
      <c r="A25" s="171" t="str">
        <f>'15. AGP — Inputs'!A10</f>
        <v>Sovereign</v>
      </c>
      <c r="B25" s="168">
        <f>'15. AGP — Inputs'!E10</f>
        <v>0.02</v>
      </c>
      <c r="C25" s="54">
        <f>ROUND($D$16*B25,0)</f>
        <v>76</v>
      </c>
      <c r="D25" s="6">
        <f>'15. AGP — Inputs'!C10</f>
        <v>3400</v>
      </c>
      <c r="E25" s="7">
        <f>D25*12</f>
        <v>40800</v>
      </c>
      <c r="F25" s="7">
        <f>C25*E25</f>
        <v>3100800</v>
      </c>
      <c r="G25" s="7">
        <f>F25*'4. Pricing Levers'!$B$12</f>
        <v>294576</v>
      </c>
      <c r="H25" s="7">
        <f>F25*'4. Pricing Levers'!$B$16/2</f>
        <v>7752</v>
      </c>
    </row>
    <row r="27" spans="1:8" ht="14.25" customHeight="1">
      <c r="A27" s="50" t="s">
        <v>765</v>
      </c>
      <c r="B27" s="158"/>
      <c r="C27" s="172">
        <f>SUM(C21:C25)</f>
        <v>3786</v>
      </c>
      <c r="D27" s="158"/>
      <c r="E27" s="158"/>
      <c r="F27" s="173">
        <f>SUM(F21:F25)</f>
        <v>20687520</v>
      </c>
      <c r="G27" s="173">
        <f>SUM(G21:G25)</f>
        <v>1965314.4</v>
      </c>
      <c r="H27" s="174">
        <f>SUM(H21:H25)</f>
        <v>51718.8</v>
      </c>
    </row>
  </sheetData>
  <mergeCells count="8">
    <mergeCell ref="A15:H15"/>
    <mergeCell ref="A16:C16"/>
    <mergeCell ref="A19:H19"/>
    <mergeCell ref="A2:H2"/>
    <mergeCell ref="A4:H4"/>
    <mergeCell ref="A12:H12"/>
    <mergeCell ref="A13:C13"/>
    <mergeCell ref="E13:H13"/>
  </mergeCells>
  <hyperlinks>
    <hyperlink ref="I1" location="'1. Master P&amp;L Summary'!A1" display="↑ P&amp;L" xr:uid="{00000000-0004-0000-0F00-000000000000}"/>
    <hyperlink ref="P1" location="'1. Master P&amp;L Summary'!A1" display="↑ P&amp;L" xr:uid="{00000000-0004-0000-0F00-00000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0"/>
  <sheetViews>
    <sheetView showGridLines="0" zoomScale="93" zoomScaleNormal="93" workbookViewId="0">
      <selection activeCell="C13" sqref="C13"/>
    </sheetView>
  </sheetViews>
  <sheetFormatPr defaultColWidth="8.69140625" defaultRowHeight="14.6"/>
  <cols>
    <col min="1" max="1" width="42" customWidth="1"/>
    <col min="2" max="2" width="25.15234375" customWidth="1"/>
    <col min="3" max="4" width="18" customWidth="1"/>
    <col min="5" max="5" width="14" customWidth="1"/>
    <col min="6" max="6" width="38" customWidth="1"/>
    <col min="8" max="9" width="12" customWidth="1"/>
    <col min="16" max="16" width="14" customWidth="1"/>
  </cols>
  <sheetData>
    <row r="1" spans="1:16" ht="27.75" customHeight="1" thickBot="1">
      <c r="A1" s="184" t="s">
        <v>855</v>
      </c>
      <c r="B1" s="184"/>
      <c r="C1" s="184"/>
      <c r="D1" s="184"/>
      <c r="E1" s="184"/>
      <c r="F1" s="184"/>
      <c r="G1" s="184"/>
      <c r="H1" s="3"/>
      <c r="I1" s="4" t="s">
        <v>72</v>
      </c>
      <c r="P1" s="4" t="s">
        <v>72</v>
      </c>
    </row>
    <row r="2" spans="1:16" ht="14.25" customHeight="1">
      <c r="A2" s="195" t="s">
        <v>856</v>
      </c>
      <c r="B2" s="195"/>
      <c r="C2" s="195"/>
      <c r="D2" s="195"/>
      <c r="E2" s="195"/>
      <c r="F2" s="195"/>
    </row>
    <row r="4" spans="1:16" ht="14.25" customHeight="1">
      <c r="A4" s="192" t="s">
        <v>857</v>
      </c>
      <c r="B4" s="192"/>
      <c r="C4" s="192"/>
      <c r="D4" s="192"/>
      <c r="E4" s="192"/>
      <c r="F4" s="192"/>
    </row>
    <row r="5" spans="1:16" ht="36" customHeight="1">
      <c r="A5" s="5" t="s">
        <v>782</v>
      </c>
      <c r="B5" s="5" t="s">
        <v>858</v>
      </c>
      <c r="C5" s="5" t="s">
        <v>859</v>
      </c>
      <c r="D5" s="5" t="s">
        <v>860</v>
      </c>
      <c r="E5" s="5" t="s">
        <v>861</v>
      </c>
      <c r="F5" s="5" t="s">
        <v>174</v>
      </c>
    </row>
    <row r="6" spans="1:16" ht="14.25" customHeight="1">
      <c r="A6" s="143" t="s">
        <v>862</v>
      </c>
      <c r="B6" s="1" t="s">
        <v>863</v>
      </c>
      <c r="C6" s="66">
        <v>5</v>
      </c>
      <c r="D6" s="63">
        <v>0.4</v>
      </c>
      <c r="E6" s="175">
        <v>1</v>
      </c>
      <c r="F6" s="2" t="s">
        <v>864</v>
      </c>
    </row>
    <row r="7" spans="1:16" ht="14.25" customHeight="1">
      <c r="A7" s="143" t="s">
        <v>865</v>
      </c>
      <c r="B7" s="1" t="s">
        <v>866</v>
      </c>
      <c r="C7" s="66">
        <v>30</v>
      </c>
      <c r="D7" s="63">
        <v>0.3</v>
      </c>
      <c r="E7" s="175">
        <v>12</v>
      </c>
      <c r="F7" s="2" t="s">
        <v>867</v>
      </c>
    </row>
    <row r="8" spans="1:16" ht="14.25" customHeight="1">
      <c r="A8" s="143" t="s">
        <v>868</v>
      </c>
      <c r="B8" s="1" t="s">
        <v>869</v>
      </c>
      <c r="C8" s="66">
        <v>90</v>
      </c>
      <c r="D8" s="63">
        <v>0.25</v>
      </c>
      <c r="E8" s="175">
        <v>12</v>
      </c>
      <c r="F8" s="2" t="s">
        <v>870</v>
      </c>
    </row>
    <row r="9" spans="1:16" ht="14.25" customHeight="1">
      <c r="A9" s="143" t="s">
        <v>871</v>
      </c>
      <c r="B9" s="1" t="s">
        <v>872</v>
      </c>
      <c r="C9" s="66">
        <v>300</v>
      </c>
      <c r="D9" s="63">
        <v>0.03</v>
      </c>
      <c r="E9" s="175">
        <v>12</v>
      </c>
      <c r="F9" s="2" t="s">
        <v>873</v>
      </c>
    </row>
    <row r="10" spans="1:16" ht="14.25" customHeight="1">
      <c r="A10" s="143" t="s">
        <v>799</v>
      </c>
      <c r="B10" s="1" t="s">
        <v>874</v>
      </c>
      <c r="C10" s="66">
        <v>1200</v>
      </c>
      <c r="D10" s="63">
        <v>0.02</v>
      </c>
      <c r="E10" s="175">
        <v>12</v>
      </c>
      <c r="F10" s="2" t="s">
        <v>875</v>
      </c>
    </row>
    <row r="11" spans="1:16" ht="14.25" customHeight="1">
      <c r="C11" s="176" t="s">
        <v>876</v>
      </c>
      <c r="D11" s="177">
        <f>SUM(D6:D10)</f>
        <v>1</v>
      </c>
    </row>
    <row r="12" spans="1:16" ht="15.75" customHeight="1">
      <c r="B12" s="191" t="s">
        <v>877</v>
      </c>
      <c r="C12" s="191"/>
      <c r="D12" s="23">
        <f>SUMPRODUCT(C6:C10,D6:D10)</f>
        <v>66.5</v>
      </c>
    </row>
    <row r="14" spans="1:16" ht="14.25" customHeight="1">
      <c r="A14" s="192" t="s">
        <v>878</v>
      </c>
      <c r="B14" s="192"/>
      <c r="C14" s="192"/>
      <c r="D14" s="192"/>
      <c r="E14" s="192"/>
      <c r="F14" s="192"/>
    </row>
    <row r="15" spans="1:16" ht="14.25" customHeight="1">
      <c r="A15" s="5" t="s">
        <v>54</v>
      </c>
      <c r="B15" s="5" t="s">
        <v>804</v>
      </c>
      <c r="C15" s="5" t="s">
        <v>805</v>
      </c>
      <c r="D15" s="5" t="s">
        <v>806</v>
      </c>
      <c r="E15" s="5" t="s">
        <v>807</v>
      </c>
      <c r="F15" s="5" t="s">
        <v>174</v>
      </c>
    </row>
    <row r="16" spans="1:16" ht="14.25" customHeight="1">
      <c r="A16" s="1" t="s">
        <v>879</v>
      </c>
      <c r="B16" s="67">
        <v>2500</v>
      </c>
      <c r="C16" s="67">
        <v>1500</v>
      </c>
      <c r="D16" s="67">
        <v>12000</v>
      </c>
      <c r="E16" s="2" t="s">
        <v>809</v>
      </c>
      <c r="F16" s="2" t="s">
        <v>880</v>
      </c>
    </row>
    <row r="17" spans="1:6" ht="14.25" customHeight="1">
      <c r="A17" s="1" t="s">
        <v>881</v>
      </c>
      <c r="B17" s="178">
        <v>0.65</v>
      </c>
      <c r="C17" s="63">
        <v>0.4</v>
      </c>
      <c r="D17" s="63">
        <v>0.85</v>
      </c>
      <c r="E17" s="2" t="s">
        <v>812</v>
      </c>
      <c r="F17" s="2" t="s">
        <v>882</v>
      </c>
    </row>
    <row r="18" spans="1:6" ht="14.25" customHeight="1">
      <c r="A18" s="1" t="s">
        <v>883</v>
      </c>
      <c r="B18" s="63">
        <v>0.55000000000000004</v>
      </c>
      <c r="C18" s="63">
        <v>0.35</v>
      </c>
      <c r="D18" s="63">
        <v>0.75</v>
      </c>
      <c r="E18" s="2" t="s">
        <v>812</v>
      </c>
      <c r="F18" s="2" t="s">
        <v>884</v>
      </c>
    </row>
    <row r="19" spans="1:6" ht="14.25" customHeight="1">
      <c r="A19" s="1" t="s">
        <v>885</v>
      </c>
      <c r="B19" s="66">
        <v>50000</v>
      </c>
      <c r="C19" s="66">
        <v>50000</v>
      </c>
      <c r="D19" s="66">
        <v>300000</v>
      </c>
      <c r="E19" s="2" t="s">
        <v>886</v>
      </c>
      <c r="F19" s="2" t="s">
        <v>887</v>
      </c>
    </row>
    <row r="20" spans="1:6" ht="14.25" customHeight="1">
      <c r="A20" s="1" t="s">
        <v>888</v>
      </c>
      <c r="B20" s="66">
        <v>20</v>
      </c>
      <c r="C20" s="66">
        <v>20</v>
      </c>
      <c r="D20" s="66">
        <v>100</v>
      </c>
      <c r="E20" s="2" t="s">
        <v>886</v>
      </c>
      <c r="F20" s="2" t="s">
        <v>889</v>
      </c>
    </row>
  </sheetData>
  <mergeCells count="4">
    <mergeCell ref="A2:F2"/>
    <mergeCell ref="A4:F4"/>
    <mergeCell ref="B12:C12"/>
    <mergeCell ref="A14:F14"/>
  </mergeCells>
  <hyperlinks>
    <hyperlink ref="I1" location="'1. Master P&amp;L Summary'!A1" display="↑ P&amp;L" xr:uid="{00000000-0004-0000-1000-000000000000}"/>
    <hyperlink ref="P1" location="'1. Master P&amp;L Summary'!A1" display="↑ P&amp;L" xr:uid="{00000000-0004-0000-1000-00000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0"/>
  <sheetViews>
    <sheetView showGridLines="0" zoomScale="93" zoomScaleNormal="70" workbookViewId="0">
      <selection activeCell="C13" sqref="C13"/>
    </sheetView>
  </sheetViews>
  <sheetFormatPr defaultColWidth="8.69140625" defaultRowHeight="14.6"/>
  <cols>
    <col min="1" max="1" width="30" customWidth="1"/>
    <col min="2" max="2" width="14" customWidth="1"/>
    <col min="3" max="4" width="18" customWidth="1"/>
    <col min="5" max="5" width="22" customWidth="1"/>
    <col min="6" max="6" width="28" customWidth="1"/>
    <col min="7" max="8" width="22" customWidth="1"/>
    <col min="9" max="10" width="14" customWidth="1"/>
    <col min="16" max="16" width="14" customWidth="1"/>
  </cols>
  <sheetData>
    <row r="1" spans="1:16" ht="27.75" customHeight="1" thickBot="1">
      <c r="A1" s="184" t="s">
        <v>890</v>
      </c>
      <c r="B1" s="184"/>
      <c r="C1" s="184"/>
      <c r="D1" s="184"/>
      <c r="E1" s="184"/>
      <c r="F1" s="184"/>
      <c r="G1" s="184"/>
      <c r="I1" s="4" t="s">
        <v>72</v>
      </c>
      <c r="P1" s="4" t="s">
        <v>72</v>
      </c>
    </row>
    <row r="2" spans="1:16" ht="14.25" customHeight="1">
      <c r="A2" s="195" t="s">
        <v>891</v>
      </c>
      <c r="B2" s="195"/>
      <c r="C2" s="195"/>
      <c r="D2" s="195"/>
      <c r="E2" s="195"/>
      <c r="F2" s="195"/>
      <c r="G2" s="195"/>
      <c r="H2" s="195"/>
    </row>
    <row r="4" spans="1:16" ht="14.25" customHeight="1">
      <c r="A4" s="192" t="s">
        <v>892</v>
      </c>
      <c r="B4" s="192"/>
      <c r="C4" s="192"/>
      <c r="D4" s="192"/>
      <c r="E4" s="192"/>
      <c r="F4" s="192"/>
      <c r="G4" s="192"/>
      <c r="H4" s="192"/>
    </row>
    <row r="5" spans="1:16" ht="39.75" customHeight="1">
      <c r="A5" s="5" t="s">
        <v>782</v>
      </c>
      <c r="B5" s="5" t="s">
        <v>848</v>
      </c>
      <c r="C5" s="5" t="s">
        <v>839</v>
      </c>
      <c r="D5" s="5" t="s">
        <v>893</v>
      </c>
      <c r="E5" s="5" t="s">
        <v>894</v>
      </c>
      <c r="F5" s="5" t="s">
        <v>895</v>
      </c>
      <c r="G5" s="5" t="s">
        <v>896</v>
      </c>
      <c r="H5" s="5" t="s">
        <v>853</v>
      </c>
    </row>
    <row r="6" spans="1:16" ht="14.25" customHeight="1">
      <c r="A6" s="171" t="str">
        <f>'17. AGP Sign-up — Inputs'!A6</f>
        <v>Trial</v>
      </c>
      <c r="B6" s="168">
        <f>'17. AGP Sign-up — Inputs'!D6</f>
        <v>0.4</v>
      </c>
      <c r="C6" s="54">
        <f>ROUND('17. AGP Sign-up — Inputs'!B16*B6,0)</f>
        <v>1000</v>
      </c>
      <c r="D6" s="6">
        <f>'17. AGP Sign-up — Inputs'!C6</f>
        <v>5</v>
      </c>
      <c r="E6" s="7">
        <f>C6*D6</f>
        <v>5000</v>
      </c>
      <c r="F6" s="7">
        <f>50*1</f>
        <v>50</v>
      </c>
      <c r="G6" s="7">
        <f>C6*F6*'17. AGP Sign-up — Inputs'!$B$17</f>
        <v>32500</v>
      </c>
      <c r="H6" s="7">
        <f>G6*'4. Pricing Levers'!$B$12</f>
        <v>3087.5</v>
      </c>
    </row>
    <row r="7" spans="1:16" ht="14.25" customHeight="1">
      <c r="A7" s="171" t="str">
        <f>'17. AGP Sign-up — Inputs'!A7</f>
        <v>Founding</v>
      </c>
      <c r="B7" s="168">
        <f>'17. AGP Sign-up — Inputs'!D7</f>
        <v>0.3</v>
      </c>
      <c r="C7" s="54">
        <f>ROUND('17. AGP Sign-up — Inputs'!B16*B7,0)</f>
        <v>750</v>
      </c>
      <c r="D7" s="6">
        <f>'17. AGP Sign-up — Inputs'!C7</f>
        <v>30</v>
      </c>
      <c r="E7" s="7">
        <f>C7*D7</f>
        <v>22500</v>
      </c>
      <c r="F7" s="7">
        <f>140*12</f>
        <v>1680</v>
      </c>
      <c r="G7" s="7">
        <f>C7*F7*'17. AGP Sign-up — Inputs'!$B$17</f>
        <v>819000</v>
      </c>
      <c r="H7" s="7">
        <f>G7*'4. Pricing Levers'!$B$12</f>
        <v>77805</v>
      </c>
    </row>
    <row r="8" spans="1:16" ht="14.25" customHeight="1">
      <c r="A8" s="171" t="str">
        <f>'17. AGP Sign-up — Inputs'!A8</f>
        <v>Founding+</v>
      </c>
      <c r="B8" s="168">
        <f>'17. AGP Sign-up — Inputs'!D8</f>
        <v>0.25</v>
      </c>
      <c r="C8" s="54">
        <f>ROUND('17. AGP Sign-up — Inputs'!B16*B8,0)</f>
        <v>625</v>
      </c>
      <c r="D8" s="6">
        <f>'17. AGP Sign-up — Inputs'!C8</f>
        <v>90</v>
      </c>
      <c r="E8" s="7">
        <f>C8*D8</f>
        <v>56250</v>
      </c>
      <c r="F8" s="7">
        <f>350*12</f>
        <v>4200</v>
      </c>
      <c r="G8" s="7">
        <f>C8*F8*'17. AGP Sign-up — Inputs'!$B$17</f>
        <v>1706250</v>
      </c>
      <c r="H8" s="7">
        <f>G8*'4. Pricing Levers'!$B$12</f>
        <v>162093.75</v>
      </c>
    </row>
    <row r="9" spans="1:16" ht="14.25" customHeight="1">
      <c r="A9" s="171" t="str">
        <f>'17. AGP Sign-up — Inputs'!A9</f>
        <v>Patron</v>
      </c>
      <c r="B9" s="168">
        <f>'17. AGP Sign-up — Inputs'!D9</f>
        <v>0.03</v>
      </c>
      <c r="C9" s="54">
        <f>ROUND('17. AGP Sign-up — Inputs'!B16*B9,0)</f>
        <v>75</v>
      </c>
      <c r="D9" s="6">
        <f>'17. AGP Sign-up — Inputs'!C9</f>
        <v>300</v>
      </c>
      <c r="E9" s="7">
        <f>C9*D9</f>
        <v>22500</v>
      </c>
      <c r="F9" s="7">
        <f>700*12</f>
        <v>8400</v>
      </c>
      <c r="G9" s="7">
        <f>C9*F9*'17. AGP Sign-up — Inputs'!$B$17</f>
        <v>409500</v>
      </c>
      <c r="H9" s="7">
        <f>G9*'4. Pricing Levers'!$B$12</f>
        <v>38902.5</v>
      </c>
    </row>
    <row r="10" spans="1:16" ht="14.25" customHeight="1">
      <c r="A10" s="171" t="str">
        <f>'17. AGP Sign-up — Inputs'!A10</f>
        <v>Sovereign</v>
      </c>
      <c r="B10" s="168">
        <f>'17. AGP Sign-up — Inputs'!D10</f>
        <v>0.02</v>
      </c>
      <c r="C10" s="54">
        <f>ROUND('17. AGP Sign-up — Inputs'!B16*B10,0)</f>
        <v>50</v>
      </c>
      <c r="D10" s="6">
        <f>'17. AGP Sign-up — Inputs'!C10</f>
        <v>1200</v>
      </c>
      <c r="E10" s="7">
        <f>C10*D10</f>
        <v>60000</v>
      </c>
      <c r="F10" s="7">
        <f>1700*12</f>
        <v>20400</v>
      </c>
      <c r="G10" s="7">
        <f>C10*F10*'17. AGP Sign-up — Inputs'!$B$17</f>
        <v>663000</v>
      </c>
      <c r="H10" s="7">
        <f>G10*'4. Pricing Levers'!$B$12</f>
        <v>62985</v>
      </c>
    </row>
    <row r="12" spans="1:16" ht="14.25" customHeight="1">
      <c r="A12" s="50" t="s">
        <v>765</v>
      </c>
      <c r="B12" s="158"/>
      <c r="C12" s="172">
        <f>SUM(C6:C10)</f>
        <v>2500</v>
      </c>
      <c r="D12" s="158"/>
      <c r="E12" s="179">
        <f>SUM(E6:E10)</f>
        <v>166250</v>
      </c>
      <c r="F12" s="158"/>
      <c r="G12" s="180">
        <f>SUM(G6:G10)</f>
        <v>3630250</v>
      </c>
      <c r="H12" s="180">
        <f>SUM(H6:H10)</f>
        <v>344873.75</v>
      </c>
    </row>
    <row r="15" spans="1:16" ht="14.25" customHeight="1">
      <c r="A15" s="192" t="s">
        <v>897</v>
      </c>
      <c r="B15" s="192"/>
      <c r="C15" s="192"/>
      <c r="D15" s="192"/>
      <c r="E15" s="192"/>
      <c r="F15" s="192"/>
      <c r="G15" s="192"/>
      <c r="H15" s="192"/>
    </row>
    <row r="16" spans="1:16" ht="14.25" customHeight="1">
      <c r="A16" s="191" t="s">
        <v>898</v>
      </c>
      <c r="B16" s="191"/>
      <c r="C16" s="54">
        <f>C12</f>
        <v>2500</v>
      </c>
    </row>
    <row r="17" spans="1:8" ht="14.25" customHeight="1">
      <c r="A17" s="191" t="s">
        <v>899</v>
      </c>
      <c r="B17" s="191"/>
      <c r="C17" s="168">
        <f>'17. AGP Sign-up — Inputs'!B17</f>
        <v>0.65</v>
      </c>
    </row>
    <row r="18" spans="1:8" ht="15.75" customHeight="1">
      <c r="A18" s="219" t="s">
        <v>900</v>
      </c>
      <c r="B18" s="219"/>
      <c r="C18" s="27">
        <f>ROUND(C16*C17,0)</f>
        <v>1625</v>
      </c>
    </row>
    <row r="21" spans="1:8" ht="14.25" customHeight="1">
      <c r="A21" s="192" t="s">
        <v>901</v>
      </c>
      <c r="B21" s="192"/>
      <c r="C21" s="192"/>
      <c r="D21" s="192"/>
      <c r="E21" s="192"/>
      <c r="F21" s="192"/>
      <c r="G21" s="192"/>
      <c r="H21" s="192"/>
    </row>
    <row r="22" spans="1:8" ht="14.25" customHeight="1">
      <c r="A22" s="5" t="s">
        <v>54</v>
      </c>
      <c r="B22" s="5" t="s">
        <v>292</v>
      </c>
    </row>
    <row r="23" spans="1:8" ht="14.25" customHeight="1">
      <c r="A23" s="191" t="s">
        <v>902</v>
      </c>
      <c r="B23" s="191"/>
      <c r="C23" s="191"/>
      <c r="D23" s="191"/>
      <c r="E23" s="181">
        <f>C12</f>
        <v>2500</v>
      </c>
    </row>
    <row r="24" spans="1:8" ht="14.25" customHeight="1">
      <c r="A24" s="191" t="s">
        <v>903</v>
      </c>
      <c r="B24" s="191"/>
      <c r="C24" s="191"/>
      <c r="D24" s="191"/>
      <c r="E24" s="182">
        <f>G12</f>
        <v>3630250</v>
      </c>
    </row>
    <row r="25" spans="1:8" ht="14.25" customHeight="1">
      <c r="A25" s="191" t="s">
        <v>904</v>
      </c>
      <c r="B25" s="191"/>
      <c r="C25" s="191"/>
      <c r="D25" s="191"/>
      <c r="E25" s="182">
        <f>H12</f>
        <v>344873.75</v>
      </c>
    </row>
    <row r="26" spans="1:8" ht="14.25" customHeight="1">
      <c r="A26" s="191" t="s">
        <v>894</v>
      </c>
      <c r="B26" s="191"/>
      <c r="C26" s="191"/>
      <c r="D26" s="191"/>
      <c r="E26" s="182">
        <f>E12</f>
        <v>166250</v>
      </c>
    </row>
    <row r="27" spans="1:8" ht="14.25" customHeight="1">
      <c r="A27" s="191" t="s">
        <v>905</v>
      </c>
      <c r="B27" s="191"/>
      <c r="C27" s="191"/>
      <c r="D27" s="191"/>
      <c r="E27" s="182">
        <f>'17. AGP Sign-up — Inputs'!B19</f>
        <v>50000</v>
      </c>
    </row>
    <row r="28" spans="1:8" ht="14.25" customHeight="1">
      <c r="A28" s="191" t="s">
        <v>906</v>
      </c>
      <c r="B28" s="191"/>
      <c r="C28" s="191"/>
      <c r="D28" s="191"/>
      <c r="E28" s="182">
        <f>(E12+'17. AGP Sign-up — Inputs'!B19)/C12</f>
        <v>86.5</v>
      </c>
    </row>
    <row r="29" spans="1:8" ht="15.75" customHeight="1">
      <c r="A29" s="191" t="s">
        <v>907</v>
      </c>
      <c r="B29" s="191"/>
      <c r="C29" s="191"/>
      <c r="D29" s="191"/>
      <c r="E29" s="15">
        <f>H12-E12-'17. AGP Sign-up — Inputs'!B19</f>
        <v>128623.75</v>
      </c>
    </row>
    <row r="30" spans="1:8" ht="15.75" customHeight="1">
      <c r="A30" s="191" t="s">
        <v>908</v>
      </c>
      <c r="B30" s="191"/>
      <c r="C30" s="191"/>
      <c r="D30" s="191"/>
      <c r="E30" s="57">
        <f>H12/(E12+'17. AGP Sign-up — Inputs'!B19)</f>
        <v>1.5947919075144508</v>
      </c>
    </row>
  </sheetData>
  <mergeCells count="15">
    <mergeCell ref="A2:H2"/>
    <mergeCell ref="A4:H4"/>
    <mergeCell ref="A15:H15"/>
    <mergeCell ref="A16:B16"/>
    <mergeCell ref="A17:B17"/>
    <mergeCell ref="A18:B18"/>
    <mergeCell ref="A21:H21"/>
    <mergeCell ref="A23:D23"/>
    <mergeCell ref="A24:D24"/>
    <mergeCell ref="A30:D30"/>
    <mergeCell ref="A25:D25"/>
    <mergeCell ref="A26:D26"/>
    <mergeCell ref="A27:D27"/>
    <mergeCell ref="A28:D28"/>
    <mergeCell ref="A29:D29"/>
  </mergeCells>
  <hyperlinks>
    <hyperlink ref="I1" location="'1. Master P&amp;L Summary'!A1" display="↑ P&amp;L" xr:uid="{00000000-0004-0000-1100-000000000000}"/>
    <hyperlink ref="P1" location="'1. Master P&amp;L Summary'!A1" display="↑ P&amp;L" xr:uid="{00000000-0004-0000-1100-000001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1. P&amp;L Summary</vt:lpstr>
      <vt:lpstr>2. Summary</vt:lpstr>
      <vt:lpstr>3. 5-Year Forecast</vt:lpstr>
      <vt:lpstr>4. Pricing Levers</vt:lpstr>
      <vt:lpstr>5. Gold Pricing Waterfall</vt:lpstr>
      <vt:lpstr>6. Silver Pricing Waterfall</vt:lpstr>
      <vt:lpstr>7. Start-up Requirements</vt:lpstr>
      <vt:lpstr>8. Equity Structure</vt:lpstr>
      <vt:lpstr>9. Balance Sheet</vt:lpstr>
      <vt:lpstr>10. Cash Flow</vt:lpstr>
      <vt:lpstr>11. Founders — Inputs</vt:lpstr>
      <vt:lpstr>12. Founders — Per-Patron</vt:lpstr>
      <vt:lpstr>13. Founders — Aggregate</vt:lpstr>
      <vt:lpstr>14. Founders — Sensitivity</vt:lpstr>
      <vt:lpstr>15. AGP — Inputs</vt:lpstr>
      <vt:lpstr>16. AGP — Math</vt:lpstr>
      <vt:lpstr>17. AGP Sign-up — Inputs</vt:lpstr>
      <vt:lpstr>18. AGP Sign-up — Math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Jung</dc:creator>
  <cp:lastModifiedBy>Thomas Jung</cp:lastModifiedBy>
  <dcterms:created xsi:type="dcterms:W3CDTF">2026-04-16T02:20:51Z</dcterms:created>
  <dcterms:modified xsi:type="dcterms:W3CDTF">2026-04-16T02:34:32Z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2026-04-16T00:08:25Z</dcterms:created>
  <dc:creator>Thomas Jung</dc:creator>
  <dc:description/>
  <dc:language>en-US</dc:language>
  <cp:lastModifiedBy/>
  <dcterms:modified xsi:type="dcterms:W3CDTF">2026-04-16T01:21:47Z</dcterms:modified>
  <cp:revision>3</cp:revision>
  <dc:subject/>
  <dc:title/>
</cp:coreProperties>
</file>